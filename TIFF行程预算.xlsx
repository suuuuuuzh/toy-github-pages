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IFF行程预算 Travel Budge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<sst xmlns="http://schemas.openxmlformats.org/spreadsheetml/2006/main" count="58" uniqueCount="50">
  <si>
    <t xml:space="preserve">制作公司:</t>
  </si>
  <si>
    <t xml:space="preserve">项目名称:</t>
  </si>
  <si>
    <t xml:space="preserve">黑豆 (Black Bean)</t>
  </si>
  <si>
    <t xml:space="preserve">报表名称:</t>
  </si>
  <si>
    <r>
      <rPr>
        <sz val="9"/>
        <rFont val="Noto Sans CJK SC"/>
        <family val="0"/>
        <charset val="1"/>
      </rPr>
      <t xml:space="preserve">TIFF </t>
    </r>
    <r>
      <rPr>
        <sz val="9"/>
        <rFont val="WenQuanYi Zen Hei"/>
        <family val="2"/>
      </rPr>
      <t xml:space="preserve">行程预算 </t>
    </r>
    <r>
      <rPr>
        <sz val="9"/>
        <rFont val="Noto Sans CJK SC"/>
        <family val="0"/>
        <charset val="1"/>
      </rPr>
      <t xml:space="preserve">/ TIFF Travel Budget</t>
    </r>
  </si>
  <si>
    <t xml:space="preserve">币种:</t>
  </si>
  <si>
    <r>
      <rPr>
        <sz val="9"/>
        <rFont val="Noto Sans CJK SC"/>
        <family val="0"/>
        <charset val="1"/>
      </rPr>
      <t xml:space="preserve">RMB </t>
    </r>
    <r>
      <rPr>
        <sz val="9"/>
        <rFont val="WenQuanYi Zen Hei"/>
        <family val="2"/>
      </rPr>
      <t xml:space="preserve">人民币</t>
    </r>
  </si>
  <si>
    <t xml:space="preserve">报表日期:</t>
  </si>
  <si>
    <t xml:space="preserve">2026-09-01</t>
  </si>
  <si>
    <t xml:space="preserve">汇率 USD→RMB:</t>
  </si>
  <si>
    <r>
      <rPr>
        <b val="true"/>
        <sz val="9"/>
        <rFont val="Arial"/>
        <family val="0"/>
        <charset val="1"/>
      </rPr>
      <t xml:space="preserve">No. </t>
    </r>
    <r>
      <rPr>
        <b val="true"/>
        <sz val="9"/>
        <rFont val="WenQuanYi Zen Hei"/>
        <family val="2"/>
      </rPr>
      <t xml:space="preserve">编号</t>
    </r>
  </si>
  <si>
    <r>
      <rPr>
        <b val="true"/>
        <sz val="9"/>
        <rFont val="Arial"/>
        <family val="0"/>
        <charset val="1"/>
      </rPr>
      <t xml:space="preserve">Items/</t>
    </r>
    <r>
      <rPr>
        <b val="true"/>
        <sz val="9"/>
        <rFont val="WenQuanYi Zen Hei"/>
        <family val="2"/>
      </rPr>
      <t xml:space="preserve">预算科目</t>
    </r>
  </si>
  <si>
    <r>
      <rPr>
        <b val="true"/>
        <sz val="9"/>
        <rFont val="Arial"/>
        <family val="0"/>
        <charset val="1"/>
      </rPr>
      <t xml:space="preserve">Dept./</t>
    </r>
    <r>
      <rPr>
        <b val="true"/>
        <sz val="9"/>
        <rFont val="WenQuanYi Zen Hei"/>
        <family val="2"/>
      </rPr>
      <t xml:space="preserve">组别</t>
    </r>
  </si>
  <si>
    <r>
      <rPr>
        <b val="true"/>
        <sz val="9"/>
        <rFont val="Arial"/>
        <family val="0"/>
        <charset val="1"/>
      </rPr>
      <t xml:space="preserve">Staff/</t>
    </r>
    <r>
      <rPr>
        <b val="true"/>
        <sz val="9"/>
        <rFont val="WenQuanYi Zen Hei"/>
        <family val="2"/>
      </rPr>
      <t xml:space="preserve">工种科目</t>
    </r>
  </si>
  <si>
    <r>
      <rPr>
        <b val="true"/>
        <sz val="9"/>
        <rFont val="Arial"/>
        <family val="0"/>
        <charset val="1"/>
      </rPr>
      <t xml:space="preserve">Rate/</t>
    </r>
    <r>
      <rPr>
        <b val="true"/>
        <sz val="9"/>
        <rFont val="WenQuanYi Zen Hei"/>
        <family val="2"/>
      </rPr>
      <t xml:space="preserve">单价</t>
    </r>
  </si>
  <si>
    <r>
      <rPr>
        <b val="true"/>
        <sz val="9"/>
        <rFont val="Arial"/>
        <family val="0"/>
        <charset val="1"/>
      </rPr>
      <t xml:space="preserve">Time/</t>
    </r>
    <r>
      <rPr>
        <b val="true"/>
        <sz val="9"/>
        <rFont val="WenQuanYi Zen Hei"/>
        <family val="2"/>
      </rPr>
      <t xml:space="preserve">周期</t>
    </r>
  </si>
  <si>
    <r>
      <rPr>
        <b val="true"/>
        <sz val="9"/>
        <rFont val="Arial"/>
        <family val="0"/>
        <charset val="1"/>
      </rPr>
      <t xml:space="preserve">Unit/</t>
    </r>
    <r>
      <rPr>
        <b val="true"/>
        <sz val="9"/>
        <rFont val="WenQuanYi Zen Hei"/>
        <family val="2"/>
      </rPr>
      <t xml:space="preserve">单位</t>
    </r>
  </si>
  <si>
    <t xml:space="preserve">X</t>
  </si>
  <si>
    <t xml:space="preserve">RMB</t>
  </si>
  <si>
    <t xml:space="preserve">比例</t>
  </si>
  <si>
    <t xml:space="preserve">备注</t>
  </si>
  <si>
    <t xml:space="preserve">1000</t>
  </si>
  <si>
    <t xml:space="preserve">机票 FLIGHTS</t>
  </si>
  <si>
    <t xml:space="preserve">100101</t>
  </si>
  <si>
    <t xml:space="preserve">机票 / 色珍 — 拉萨-北京</t>
  </si>
  <si>
    <t xml:space="preserve">电影节</t>
  </si>
  <si>
    <t xml:space="preserve">色珍</t>
  </si>
  <si>
    <t xml:space="preserve">单程</t>
  </si>
  <si>
    <t xml:space="preserve">100102</t>
  </si>
  <si>
    <t xml:space="preserve">机票 / 色珍 — 北京-多伦多-拉萨</t>
  </si>
  <si>
    <t xml:space="preserve">往返</t>
  </si>
  <si>
    <t xml:space="preserve">往返；色珍机票合计 20,200</t>
  </si>
  <si>
    <t xml:space="preserve">100103</t>
  </si>
  <si>
    <t xml:space="preserve">机票 / 水素 — 往返</t>
  </si>
  <si>
    <t xml:space="preserve">水素</t>
  </si>
  <si>
    <t xml:space="preserve">2000</t>
  </si>
  <si>
    <t xml:space="preserve">住宿 ACCOMMODATION（Airbnb，USD计价）</t>
  </si>
  <si>
    <t xml:space="preserve">200101</t>
  </si>
  <si>
    <t xml:space="preserve">住宿 / Airbnb</t>
  </si>
  <si>
    <r>
      <rPr>
        <sz val="9"/>
        <color rgb="FF0000FF"/>
        <rFont val="Arial"/>
        <family val="0"/>
        <charset val="1"/>
      </rPr>
      <t xml:space="preserve">USD/</t>
    </r>
    <r>
      <rPr>
        <sz val="9"/>
        <color rgb="FF0000FF"/>
        <rFont val="WenQuanYi Zen Hei"/>
        <family val="2"/>
      </rPr>
      <t xml:space="preserve">晚</t>
    </r>
  </si>
  <si>
    <r>
      <rPr>
        <sz val="9"/>
        <rFont val="Noto Sans CJK SC"/>
        <family val="0"/>
        <charset val="1"/>
      </rPr>
      <t xml:space="preserve">9.9</t>
    </r>
    <r>
      <rPr>
        <sz val="9"/>
        <rFont val="WenQuanYi Zen Hei"/>
        <family val="2"/>
      </rPr>
      <t xml:space="preserve">入住–</t>
    </r>
    <r>
      <rPr>
        <sz val="9"/>
        <rFont val="Noto Sans CJK SC"/>
        <family val="0"/>
        <charset val="1"/>
      </rPr>
      <t xml:space="preserve">9.22</t>
    </r>
    <r>
      <rPr>
        <sz val="9"/>
        <rFont val="WenQuanYi Zen Hei"/>
        <family val="2"/>
      </rPr>
      <t xml:space="preserve">退房共</t>
    </r>
    <r>
      <rPr>
        <sz val="9"/>
        <rFont val="Noto Sans CJK SC"/>
        <family val="0"/>
        <charset val="1"/>
      </rPr>
      <t xml:space="preserve">13</t>
    </r>
    <r>
      <rPr>
        <sz val="9"/>
        <rFont val="WenQuanYi Zen Hei"/>
        <family val="2"/>
      </rPr>
      <t xml:space="preserve">晚，均价</t>
    </r>
    <r>
      <rPr>
        <sz val="9"/>
        <rFont val="Noto Sans CJK SC"/>
        <family val="0"/>
        <charset val="1"/>
      </rPr>
      <t xml:space="preserve">$350/</t>
    </r>
    <r>
      <rPr>
        <sz val="9"/>
        <rFont val="WenQuanYi Zen Hei"/>
        <family val="2"/>
      </rPr>
      <t xml:space="preserve">晚；按</t>
    </r>
    <r>
      <rPr>
        <sz val="9"/>
        <rFont val="Noto Sans CJK SC"/>
        <family val="0"/>
        <charset val="1"/>
      </rPr>
      <t xml:space="preserve">USD</t>
    </r>
    <r>
      <rPr>
        <sz val="9"/>
        <rFont val="WenQuanYi Zen Hei"/>
        <family val="2"/>
      </rPr>
      <t xml:space="preserve">为准，</t>
    </r>
    <r>
      <rPr>
        <sz val="9"/>
        <rFont val="Noto Sans CJK SC"/>
        <family val="0"/>
        <charset val="1"/>
      </rPr>
      <t xml:space="preserve">RMB=$350×13</t>
    </r>
    <r>
      <rPr>
        <sz val="9"/>
        <rFont val="WenQuanYi Zen Hei"/>
        <family val="2"/>
      </rPr>
      <t xml:space="preserve">晚</t>
    </r>
    <r>
      <rPr>
        <sz val="9"/>
        <rFont val="Noto Sans CJK SC"/>
        <family val="0"/>
        <charset val="1"/>
      </rPr>
      <t xml:space="preserve">×B6</t>
    </r>
    <r>
      <rPr>
        <sz val="9"/>
        <rFont val="WenQuanYi Zen Hei"/>
        <family val="2"/>
      </rPr>
      <t xml:space="preserve">汇率</t>
    </r>
  </si>
  <si>
    <t xml:space="preserve">3000</t>
  </si>
  <si>
    <t xml:space="preserve">不可预见费 CONTINGENCY</t>
  </si>
  <si>
    <t xml:space="preserve">固定金额 3,000 RMB，可调整</t>
  </si>
  <si>
    <t xml:space="preserve">总计 GRAND TOTAL</t>
  </si>
  <si>
    <t xml:space="preserve">填写说明 / How to use:</t>
  </si>
  <si>
    <r>
      <rPr>
        <sz val="8"/>
        <rFont val="Arial"/>
        <family val="0"/>
        <charset val="1"/>
      </rPr>
      <t xml:space="preserve">· </t>
    </r>
    <r>
      <rPr>
        <sz val="8"/>
        <rFont val="WenQuanYi Zen Hei"/>
        <family val="2"/>
      </rPr>
      <t xml:space="preserve">蓝色字体单元格为填写项；顶部黄色单元格填公司、日期、汇率。</t>
    </r>
    <r>
      <rPr>
        <sz val="8"/>
        <rFont val="Arial"/>
        <family val="0"/>
        <charset val="1"/>
      </rPr>
      <t xml:space="preserve">RMB </t>
    </r>
    <r>
      <rPr>
        <sz val="8"/>
        <rFont val="WenQuanYi Zen Hei"/>
        <family val="2"/>
      </rPr>
      <t xml:space="preserve">列自动计算 </t>
    </r>
    <r>
      <rPr>
        <sz val="8"/>
        <rFont val="Arial"/>
        <family val="0"/>
        <charset val="1"/>
      </rPr>
      <t xml:space="preserve">= </t>
    </r>
    <r>
      <rPr>
        <sz val="8"/>
        <rFont val="WenQuanYi Zen Hei"/>
        <family val="2"/>
      </rPr>
      <t xml:space="preserve">单价 </t>
    </r>
    <r>
      <rPr>
        <sz val="8"/>
        <rFont val="Arial"/>
        <family val="0"/>
        <charset val="1"/>
      </rPr>
      <t xml:space="preserve">× </t>
    </r>
    <r>
      <rPr>
        <sz val="8"/>
        <rFont val="WenQuanYi Zen Hei"/>
        <family val="2"/>
      </rPr>
      <t xml:space="preserve">周期 </t>
    </r>
    <r>
      <rPr>
        <sz val="8"/>
        <rFont val="Arial"/>
        <family val="0"/>
        <charset val="1"/>
      </rPr>
      <t xml:space="preserve">× X</t>
    </r>
    <r>
      <rPr>
        <sz val="8"/>
        <rFont val="WenQuanYi Zen Hei"/>
        <family val="2"/>
      </rPr>
      <t xml:space="preserve">；比例列 </t>
    </r>
    <r>
      <rPr>
        <sz val="8"/>
        <rFont val="Arial"/>
        <family val="0"/>
        <charset val="1"/>
      </rPr>
      <t xml:space="preserve">= </t>
    </r>
    <r>
      <rPr>
        <sz val="8"/>
        <rFont val="WenQuanYi Zen Hei"/>
        <family val="2"/>
      </rPr>
      <t xml:space="preserve">该行金额 </t>
    </r>
    <r>
      <rPr>
        <sz val="8"/>
        <rFont val="Arial"/>
        <family val="0"/>
        <charset val="1"/>
      </rPr>
      <t xml:space="preserve">÷ </t>
    </r>
    <r>
      <rPr>
        <sz val="8"/>
        <rFont val="WenQuanYi Zen Hei"/>
        <family val="2"/>
      </rPr>
      <t xml:space="preserve">总计。</t>
    </r>
  </si>
  <si>
    <r>
      <rPr>
        <sz val="8"/>
        <rFont val="Arial"/>
        <family val="0"/>
        <charset val="1"/>
      </rPr>
      <t xml:space="preserve">· </t>
    </r>
    <r>
      <rPr>
        <sz val="8"/>
        <rFont val="WenQuanYi Zen Hei"/>
        <family val="2"/>
      </rPr>
      <t xml:space="preserve">住宿为 </t>
    </r>
    <r>
      <rPr>
        <sz val="8"/>
        <rFont val="Arial"/>
        <family val="0"/>
        <charset val="1"/>
      </rPr>
      <t xml:space="preserve">Airbnb</t>
    </r>
    <r>
      <rPr>
        <sz val="8"/>
        <rFont val="WenQuanYi Zen Hei"/>
        <family val="2"/>
      </rPr>
      <t xml:space="preserve">（</t>
    </r>
    <r>
      <rPr>
        <sz val="8"/>
        <rFont val="Arial"/>
        <family val="0"/>
        <charset val="1"/>
      </rPr>
      <t xml:space="preserve">9.9–9.22 </t>
    </r>
    <r>
      <rPr>
        <sz val="8"/>
        <rFont val="WenQuanYi Zen Hei"/>
        <family val="2"/>
      </rPr>
      <t xml:space="preserve">共</t>
    </r>
    <r>
      <rPr>
        <sz val="8"/>
        <rFont val="Arial"/>
        <family val="0"/>
        <charset val="1"/>
      </rPr>
      <t xml:space="preserve">13</t>
    </r>
    <r>
      <rPr>
        <sz val="8"/>
        <rFont val="WenQuanYi Zen Hei"/>
        <family val="2"/>
      </rPr>
      <t xml:space="preserve">晚），均价 </t>
    </r>
    <r>
      <rPr>
        <sz val="8"/>
        <rFont val="Arial"/>
        <family val="0"/>
        <charset val="1"/>
      </rPr>
      <t xml:space="preserve">$350/</t>
    </r>
    <r>
      <rPr>
        <sz val="8"/>
        <rFont val="WenQuanYi Zen Hei"/>
        <family val="2"/>
      </rPr>
      <t xml:space="preserve">晚 </t>
    </r>
    <r>
      <rPr>
        <sz val="8"/>
        <rFont val="Arial"/>
        <family val="0"/>
        <charset val="1"/>
      </rPr>
      <t xml:space="preserve">× 13 </t>
    </r>
    <r>
      <rPr>
        <sz val="8"/>
        <rFont val="WenQuanYi Zen Hei"/>
        <family val="2"/>
      </rPr>
      <t xml:space="preserve">晚 </t>
    </r>
    <r>
      <rPr>
        <sz val="8"/>
        <rFont val="Arial"/>
        <family val="0"/>
        <charset val="1"/>
      </rPr>
      <t xml:space="preserve">= $4,550</t>
    </r>
    <r>
      <rPr>
        <sz val="8"/>
        <rFont val="WenQuanYi Zen Hei"/>
        <family val="2"/>
      </rPr>
      <t xml:space="preserve">，按 </t>
    </r>
    <r>
      <rPr>
        <sz val="8"/>
        <rFont val="Arial"/>
        <family val="0"/>
        <charset val="1"/>
      </rPr>
      <t xml:space="preserve">USD </t>
    </r>
    <r>
      <rPr>
        <sz val="8"/>
        <rFont val="WenQuanYi Zen Hei"/>
        <family val="2"/>
      </rPr>
      <t xml:space="preserve">为准，</t>
    </r>
    <r>
      <rPr>
        <sz val="8"/>
        <rFont val="Arial"/>
        <family val="0"/>
        <charset val="1"/>
      </rPr>
      <t xml:space="preserve">RMB = $4,550 × B6 </t>
    </r>
    <r>
      <rPr>
        <sz val="8"/>
        <rFont val="WenQuanYi Zen Hei"/>
        <family val="2"/>
      </rPr>
      <t xml:space="preserve">汇率（默认 </t>
    </r>
    <r>
      <rPr>
        <sz val="8"/>
        <rFont val="Arial"/>
        <family val="0"/>
        <charset val="1"/>
      </rPr>
      <t xml:space="preserve">6.73</t>
    </r>
    <r>
      <rPr>
        <sz val="8"/>
        <rFont val="WenQuanYi Zen Hei"/>
        <family val="2"/>
      </rPr>
      <t xml:space="preserve">，</t>
    </r>
    <r>
      <rPr>
        <sz val="8"/>
        <rFont val="Arial"/>
        <family val="0"/>
        <charset val="1"/>
      </rPr>
      <t xml:space="preserve">2026-08-28 </t>
    </r>
    <r>
      <rPr>
        <sz val="8"/>
        <rFont val="WenQuanYi Zen Hei"/>
        <family val="2"/>
      </rPr>
      <t xml:space="preserve">市场价，可修改）。</t>
    </r>
  </si>
  <si>
    <r>
      <rPr>
        <sz val="8"/>
        <rFont val="Arial"/>
        <family val="0"/>
        <charset val="1"/>
      </rPr>
      <t xml:space="preserve">· </t>
    </r>
    <r>
      <rPr>
        <sz val="8"/>
        <rFont val="WenQuanYi Zen Hei"/>
        <family val="2"/>
      </rPr>
      <t xml:space="preserve">住宿为 </t>
    </r>
    <r>
      <rPr>
        <sz val="8"/>
        <rFont val="Arial"/>
        <family val="0"/>
        <charset val="1"/>
      </rPr>
      <t xml:space="preserve">Airbnb </t>
    </r>
    <r>
      <rPr>
        <sz val="8"/>
        <rFont val="WenQuanYi Zen Hei"/>
        <family val="2"/>
      </rPr>
      <t xml:space="preserve">整租 </t>
    </r>
    <r>
      <rPr>
        <sz val="8"/>
        <rFont val="Arial"/>
        <family val="0"/>
        <charset val="1"/>
      </rPr>
      <t xml:space="preserve">$4,500</t>
    </r>
    <r>
      <rPr>
        <sz val="8"/>
        <rFont val="WenQuanYi Zen Hei"/>
        <family val="2"/>
      </rPr>
      <t xml:space="preserve">（</t>
    </r>
    <r>
      <rPr>
        <sz val="8"/>
        <rFont val="Arial"/>
        <family val="0"/>
        <charset val="1"/>
      </rPr>
      <t xml:space="preserve">9.9–9.22 </t>
    </r>
    <r>
      <rPr>
        <sz val="8"/>
        <rFont val="WenQuanYi Zen Hei"/>
        <family val="2"/>
      </rPr>
      <t xml:space="preserve">共</t>
    </r>
    <r>
      <rPr>
        <sz val="8"/>
        <rFont val="Arial"/>
        <family val="0"/>
        <charset val="1"/>
      </rPr>
      <t xml:space="preserve">13</t>
    </r>
    <r>
      <rPr>
        <sz val="8"/>
        <rFont val="WenQuanYi Zen Hei"/>
        <family val="2"/>
      </rPr>
      <t xml:space="preserve">晚，约</t>
    </r>
    <r>
      <rPr>
        <sz val="8"/>
        <rFont val="Arial"/>
        <family val="0"/>
        <charset val="1"/>
      </rPr>
      <t xml:space="preserve">$346/</t>
    </r>
    <r>
      <rPr>
        <sz val="8"/>
        <rFont val="WenQuanYi Zen Hei"/>
        <family val="2"/>
      </rPr>
      <t xml:space="preserve">晚），金额按 </t>
    </r>
    <r>
      <rPr>
        <sz val="8"/>
        <rFont val="Arial"/>
        <family val="0"/>
        <charset val="1"/>
      </rPr>
      <t xml:space="preserve">USD </t>
    </r>
    <r>
      <rPr>
        <sz val="8"/>
        <rFont val="WenQuanYi Zen Hei"/>
        <family val="2"/>
      </rPr>
      <t xml:space="preserve">为准，</t>
    </r>
    <r>
      <rPr>
        <sz val="8"/>
        <rFont val="Arial"/>
        <family val="0"/>
        <charset val="1"/>
      </rPr>
      <t xml:space="preserve">RMB = $4,500 × B6 </t>
    </r>
    <r>
      <rPr>
        <sz val="8"/>
        <rFont val="WenQuanYi Zen Hei"/>
        <family val="2"/>
      </rPr>
      <t xml:space="preserve">汇率（默认 </t>
    </r>
    <r>
      <rPr>
        <sz val="8"/>
        <rFont val="Arial"/>
        <family val="0"/>
        <charset val="1"/>
      </rPr>
      <t xml:space="preserve">6.73</t>
    </r>
    <r>
      <rPr>
        <sz val="8"/>
        <rFont val="WenQuanYi Zen Hei"/>
        <family val="2"/>
      </rPr>
      <t xml:space="preserve">，</t>
    </r>
    <r>
      <rPr>
        <sz val="8"/>
        <rFont val="Arial"/>
        <family val="0"/>
        <charset val="1"/>
      </rPr>
      <t xml:space="preserve">2026-08-28 </t>
    </r>
    <r>
      <rPr>
        <sz val="8"/>
        <rFont val="WenQuanYi Zen Hei"/>
        <family val="2"/>
      </rPr>
      <t xml:space="preserve">市场价，可修改）。</t>
    </r>
  </si>
  <si>
    <r>
      <rPr>
        <sz val="8"/>
        <rFont val="Arial"/>
        <family val="0"/>
        <charset val="1"/>
      </rPr>
      <t xml:space="preserve">· </t>
    </r>
    <r>
      <rPr>
        <sz val="8"/>
        <rFont val="WenQuanYi Zen Hei"/>
        <family val="2"/>
      </rPr>
      <t xml:space="preserve">不可预见费为固定 </t>
    </r>
    <r>
      <rPr>
        <sz val="8"/>
        <rFont val="Arial"/>
        <family val="0"/>
        <charset val="1"/>
      </rPr>
      <t xml:space="preserve">3,000 RMB</t>
    </r>
    <r>
      <rPr>
        <sz val="8"/>
        <rFont val="WenQuanYi Zen Hei"/>
        <family val="2"/>
      </rPr>
      <t xml:space="preserve">（用户指定），可在 </t>
    </r>
    <r>
      <rPr>
        <sz val="8"/>
        <rFont val="Arial"/>
        <family val="0"/>
        <charset val="1"/>
      </rPr>
      <t xml:space="preserve">E </t>
    </r>
    <r>
      <rPr>
        <sz val="8"/>
        <rFont val="WenQuanYi Zen Hei"/>
        <family val="2"/>
      </rPr>
      <t xml:space="preserve">列直接修改。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</si>
</sst>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#,##0.00"/>
    <numFmt numFmtId="167" formatCode="0.0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WenQuanYi Zen Hei"/>
      <family val="2"/>
      <charset val="1"/>
    </font>
    <font>
      <sz val="9"/>
      <color rgb="FF0000FF"/>
      <name val="Arial"/>
      <family val="0"/>
      <charset val="1"/>
    </font>
    <font>
      <sz val="9"/>
      <name val="WenQuanYi Zen Hei"/>
      <family val="2"/>
      <charset val="1"/>
    </font>
    <font>
      <sz val="9"/>
      <name val="Noto Sans CJK SC"/>
      <family val="0"/>
      <charset val="1"/>
    </font>
    <font>
      <sz val="9"/>
      <name val="WenQuanYi Zen Hei"/>
      <family val="2"/>
    </font>
    <font>
      <b val="true"/>
      <sz val="9"/>
      <name val="Arial"/>
      <family val="0"/>
      <charset val="1"/>
    </font>
    <font>
      <b val="true"/>
      <sz val="9"/>
      <name val="WenQuanYi Zen Hei"/>
      <family val="2"/>
    </font>
    <font>
      <sz val="9"/>
      <name val="Arial"/>
      <family val="0"/>
      <charset val="1"/>
    </font>
    <font>
      <sz val="9"/>
      <color rgb="FF0000FF"/>
      <name val="WenQuanYi Zen Hei"/>
      <family val="2"/>
      <charset val="1"/>
    </font>
    <font>
      <sz val="9"/>
      <color rgb="FF0000FF"/>
      <name val="WenQuanYi Zen Hei"/>
      <family val="2"/>
    </font>
    <font>
      <b val="true"/>
      <sz val="9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FFFFFF"/>
      <name val="WenQuanYi Zen Hei"/>
      <family val="2"/>
      <charset val="1"/>
    </font>
    <font>
      <b val="true"/>
      <sz val="9"/>
      <color rgb="FFFFFFFF"/>
      <name val="Noto Sans CJK SC"/>
      <family val="0"/>
      <charset val="1"/>
    </font>
    <font>
      <b val="true"/>
      <sz val="8"/>
      <name val="WenQuanYi Zen Hei"/>
      <family val="2"/>
      <charset val="1"/>
    </font>
    <font>
      <sz val="8"/>
      <name val="Arial"/>
      <family val="0"/>
      <charset val="1"/>
    </font>
    <font>
      <sz val="8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FABF8F"/>
        <bgColor rgb="FFC4D79B"/>
      </patternFill>
    </fill>
    <fill>
      <patternFill patternType="solid">
        <fgColor rgb="FFC4D79B"/>
        <bgColor rgb="FFB8CCE4"/>
      </patternFill>
    </fill>
    <fill>
      <patternFill patternType="solid">
        <fgColor rgb="FFB8CCE4"/>
        <bgColor rgb="FF99CCFF"/>
      </patternFill>
    </fill>
    <fill>
      <patternFill patternType="solid">
        <fgColor rgb="FF000000"/>
        <bgColor rgb="FF0033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 style="hair"/>
      <right style="hair"/>
      <top style="dotted"/>
      <bottom style="dotted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5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4D79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8C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ABF8F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20"/>
    <col collapsed="false" customWidth="true" hidden="false" outlineLevel="0" max="5" min="5" style="1" width="12"/>
    <col collapsed="false" customWidth="true" hidden="false" outlineLevel="0" max="6" min="6" style="1" width="9"/>
    <col collapsed="false" customWidth="true" hidden="false" outlineLevel="0" max="8" min="8" style="1" width="5"/>
    <col collapsed="false" customWidth="true" hidden="false" outlineLevel="0" max="9" min="9" style="1" width="14"/>
    <col collapsed="false" customWidth="true" hidden="false" outlineLevel="0" max="10" min="10" style="1" width="9"/>
    <col collapsed="false" customWidth="true" hidden="false" outlineLevel="0" max="11" min="11" style="1" width="50"/>
  </cols>
  <sheetData>
    <row r="1" customFormat="false" ht="15" hidden="false" customHeight="true" outlineLevel="0" collapsed="false">
      <c r="A1" s="2" t="s">
        <v>0</v>
      </c>
      <c r="B1" s="3"/>
    </row>
    <row r="2" customFormat="false" ht="15" hidden="false" customHeight="true" outlineLevel="0" collapsed="false">
      <c r="A2" s="2" t="s">
        <v>1</v>
      </c>
      <c r="B2" s="4" t="s">
        <v>2</v>
      </c>
    </row>
    <row r="3" customFormat="false" ht="15" hidden="false" customHeight="true" outlineLevel="0" collapsed="false">
      <c r="A3" s="2" t="s">
        <v>3</v>
      </c>
      <c r="B3" s="5" t="s">
        <v>4</v>
      </c>
    </row>
    <row r="4" customFormat="false" ht="15" hidden="false" customHeight="true" outlineLevel="0" collapsed="false">
      <c r="A4" s="2" t="s">
        <v>5</v>
      </c>
      <c r="B4" s="5" t="s">
        <v>6</v>
      </c>
    </row>
    <row r="5" customFormat="false" ht="15" hidden="false" customHeight="true" outlineLevel="0" collapsed="false">
      <c r="A5" s="2" t="s">
        <v>7</v>
      </c>
      <c r="B5" s="3" t="s">
        <v>8</v>
      </c>
    </row>
    <row r="6" customFormat="false" ht="15" hidden="false" customHeight="true" outlineLevel="0" collapsed="false">
      <c r="A6" s="2" t="s">
        <v>9</v>
      </c>
      <c r="B6" s="6" t="n">
        <v>6.73</v>
      </c>
    </row>
    <row r="7" customFormat="false" ht="15" hidden="false" customHeight="true" outlineLevel="0" collapsed="false">
      <c r="A7" s="7" t="s">
        <v>10</v>
      </c>
      <c r="B7" s="7" t="s">
        <v>11</v>
      </c>
      <c r="C7" s="7" t="s">
        <v>12</v>
      </c>
      <c r="D7" s="7" t="s">
        <v>13</v>
      </c>
      <c r="E7" s="7" t="s">
        <v>14</v>
      </c>
      <c r="F7" s="7" t="s">
        <v>15</v>
      </c>
      <c r="G7" s="7" t="s">
        <v>16</v>
      </c>
      <c r="H7" s="7" t="s">
        <v>17</v>
      </c>
      <c r="I7" s="7" t="s">
        <v>18</v>
      </c>
      <c r="J7" s="8" t="s">
        <v>19</v>
      </c>
      <c r="K7" s="8" t="s">
        <v>20</v>
      </c>
    </row>
    <row r="8" customFormat="false" ht="15" hidden="false" customHeight="true" outlineLevel="0" collapsed="false">
      <c r="A8" s="9" t="s">
        <v>21</v>
      </c>
      <c r="B8" s="10" t="s">
        <v>22</v>
      </c>
      <c r="C8" s="9"/>
      <c r="D8" s="9"/>
      <c r="E8" s="9"/>
      <c r="F8" s="9"/>
      <c r="G8" s="9"/>
      <c r="H8" s="9"/>
      <c r="I8" s="11" t="n">
        <f aca="false">SUM(I9:I11)</f>
        <v>32200</v>
      </c>
      <c r="J8" s="12" t="n">
        <f aca="false">IF(OR($I8="",$I$18=0),"",$I8/$I$18)</f>
        <v>0.489201856536238</v>
      </c>
      <c r="K8" s="10"/>
    </row>
    <row r="9" customFormat="false" ht="15" hidden="false" customHeight="true" outlineLevel="0" collapsed="false">
      <c r="A9" s="13" t="s">
        <v>23</v>
      </c>
      <c r="B9" s="14" t="s">
        <v>24</v>
      </c>
      <c r="C9" s="15" t="s">
        <v>25</v>
      </c>
      <c r="D9" s="15" t="s">
        <v>26</v>
      </c>
      <c r="E9" s="16" t="n">
        <v>2200</v>
      </c>
      <c r="F9" s="17" t="n">
        <v>1</v>
      </c>
      <c r="G9" s="18" t="s">
        <v>27</v>
      </c>
      <c r="H9" s="17" t="n">
        <v>1</v>
      </c>
      <c r="I9" s="19" t="n">
        <f aca="false">IF($E9="","",$E9*IF($F9="",1,$F9)*IF($H9="",1,$H9))</f>
        <v>2200</v>
      </c>
      <c r="J9" s="20" t="n">
        <f aca="false">IF(OR($I9="",$I$18=0),"",$I9/$I$18)</f>
        <v>0.0334237293285629</v>
      </c>
      <c r="K9" s="14" t="s">
        <v>27</v>
      </c>
    </row>
    <row r="10" customFormat="false" ht="15" hidden="false" customHeight="true" outlineLevel="0" collapsed="false">
      <c r="A10" s="13" t="s">
        <v>28</v>
      </c>
      <c r="B10" s="14" t="s">
        <v>29</v>
      </c>
      <c r="C10" s="15" t="s">
        <v>25</v>
      </c>
      <c r="D10" s="15" t="s">
        <v>26</v>
      </c>
      <c r="E10" s="16" t="n">
        <v>18000</v>
      </c>
      <c r="F10" s="17" t="n">
        <v>1</v>
      </c>
      <c r="G10" s="18" t="s">
        <v>30</v>
      </c>
      <c r="H10" s="17" t="n">
        <v>1</v>
      </c>
      <c r="I10" s="19" t="n">
        <f aca="false">IF($E10="","",$E10*IF($F10="",1,$F10)*IF($H10="",1,$H10))</f>
        <v>18000</v>
      </c>
      <c r="J10" s="20" t="n">
        <f aca="false">IF(OR($I10="",$I$18=0),"",$I10/$I$18)</f>
        <v>0.273466876324605</v>
      </c>
      <c r="K10" s="14" t="s">
        <v>31</v>
      </c>
    </row>
    <row r="11" customFormat="false" ht="15" hidden="false" customHeight="true" outlineLevel="0" collapsed="false">
      <c r="A11" s="13" t="s">
        <v>32</v>
      </c>
      <c r="B11" s="14" t="s">
        <v>33</v>
      </c>
      <c r="C11" s="15" t="s">
        <v>25</v>
      </c>
      <c r="D11" s="15" t="s">
        <v>34</v>
      </c>
      <c r="E11" s="16" t="n">
        <v>12000</v>
      </c>
      <c r="F11" s="17" t="n">
        <v>1</v>
      </c>
      <c r="G11" s="18" t="s">
        <v>30</v>
      </c>
      <c r="H11" s="17" t="n">
        <v>1</v>
      </c>
      <c r="I11" s="19" t="n">
        <f aca="false">IF($E11="","",$E11*IF($F11="",1,$F11)*IF($H11="",1,$H11))</f>
        <v>12000</v>
      </c>
      <c r="J11" s="20" t="n">
        <f aca="false">IF(OR($I11="",$I$18=0),"",$I11/$I$18)</f>
        <v>0.18231125088307</v>
      </c>
      <c r="K11" s="14" t="s">
        <v>30</v>
      </c>
    </row>
    <row r="12" customFormat="false" ht="15" hidden="false" customHeight="true" outlineLevel="0" collapsed="false"/>
    <row r="13" customFormat="false" ht="15" hidden="false" customHeight="true" outlineLevel="0" collapsed="false">
      <c r="A13" s="9" t="s">
        <v>35</v>
      </c>
      <c r="B13" s="10" t="s">
        <v>36</v>
      </c>
      <c r="C13" s="9"/>
      <c r="D13" s="9"/>
      <c r="E13" s="9"/>
      <c r="F13" s="9"/>
      <c r="G13" s="9"/>
      <c r="H13" s="9"/>
      <c r="I13" s="11" t="n">
        <f aca="false">SUM(I14:I14)</f>
        <v>30621.5</v>
      </c>
      <c r="J13" s="12" t="n">
        <f aca="false">IF(OR($I13="",$I$18=0),"",$I13/$I$18)</f>
        <v>0.465220330742994</v>
      </c>
      <c r="K13" s="10"/>
    </row>
    <row r="14" customFormat="false" ht="15" hidden="false" customHeight="true" outlineLevel="0" collapsed="false">
      <c r="A14" s="13" t="s">
        <v>37</v>
      </c>
      <c r="B14" s="14" t="s">
        <v>38</v>
      </c>
      <c r="C14" s="15" t="s">
        <v>25</v>
      </c>
      <c r="D14" s="15"/>
      <c r="E14" s="16" t="n">
        <v>350</v>
      </c>
      <c r="F14" s="17" t="n">
        <v>13</v>
      </c>
      <c r="G14" s="17" t="s">
        <v>39</v>
      </c>
      <c r="H14" s="17" t="n">
        <v>1</v>
      </c>
      <c r="I14" s="19" t="n">
        <f aca="false">IF($E14="","",$E14*$B$6*IF($F14="",1,$F14)*IF($H14="",1,$H14))</f>
        <v>30621.5</v>
      </c>
      <c r="J14" s="20" t="n">
        <f aca="false">IF(OR($I14="",$I$18=0),"",$I14/$I$18)</f>
        <v>0.465220330742994</v>
      </c>
      <c r="K14" s="21" t="s">
        <v>40</v>
      </c>
    </row>
    <row r="15" customFormat="false" ht="15" hidden="false" customHeight="true" outlineLevel="0" collapsed="false"/>
    <row r="16" customFormat="false" ht="15" hidden="false" customHeight="true" outlineLevel="0" collapsed="false">
      <c r="A16" s="22" t="s">
        <v>41</v>
      </c>
      <c r="B16" s="23" t="s">
        <v>42</v>
      </c>
      <c r="C16" s="22"/>
      <c r="D16" s="22"/>
      <c r="E16" s="24" t="n">
        <v>3000</v>
      </c>
      <c r="F16" s="22"/>
      <c r="G16" s="22" t="s">
        <v>18</v>
      </c>
      <c r="H16" s="22"/>
      <c r="I16" s="25" t="n">
        <f aca="false">IF($E16="","",$E16*IF($F16="",1,$F16)*IF($H16="",1,$H16))</f>
        <v>3000</v>
      </c>
      <c r="J16" s="26" t="n">
        <f aca="false">IF(OR($I16="",$I$18=0),"",$I16/$I$18)</f>
        <v>0.0455778127207675</v>
      </c>
      <c r="K16" s="23" t="s">
        <v>43</v>
      </c>
    </row>
    <row r="17" customFormat="false" ht="15" hidden="false" customHeight="true" outlineLevel="0" collapsed="false"/>
    <row r="18" customFormat="false" ht="15" hidden="false" customHeight="true" outlineLevel="0" collapsed="false">
      <c r="A18" s="27"/>
      <c r="B18" s="28" t="s">
        <v>44</v>
      </c>
      <c r="C18" s="27"/>
      <c r="D18" s="27"/>
      <c r="E18" s="27"/>
      <c r="F18" s="27"/>
      <c r="G18" s="27"/>
      <c r="H18" s="27"/>
      <c r="I18" s="29" t="n">
        <f aca="false">I8+I13+I16</f>
        <v>65821.5</v>
      </c>
      <c r="J18" s="30" t="n">
        <f aca="false">IF($I$18=0,"",1)</f>
        <v>1</v>
      </c>
      <c r="K18" s="31"/>
    </row>
    <row r="20" customFormat="false" ht="12.75" hidden="false" customHeight="true" outlineLevel="0" collapsed="false">
      <c r="A20" s="32" t="s">
        <v>45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</row>
    <row r="21" customFormat="false" ht="12.75" hidden="false" customHeight="true" outlineLevel="0" collapsed="false">
      <c r="A21" s="33" t="s">
        <v>46</v>
      </c>
      <c r="B21" s="33"/>
      <c r="C21" s="33"/>
      <c r="D21" s="33"/>
      <c r="E21" s="33"/>
      <c r="F21" s="33"/>
      <c r="G21" s="33"/>
      <c r="H21" s="33"/>
      <c r="I21" s="33"/>
      <c r="J21" s="33"/>
      <c r="K21" s="33"/>
    </row>
    <row r="22" customFormat="false" ht="12.75" hidden="false" customHeight="true" outlineLevel="0" collapsed="false">
      <c r="A22" s="33" t="s">
        <v>47</v>
      </c>
      <c r="B22" s="33"/>
      <c r="C22" s="33"/>
      <c r="D22" s="33"/>
      <c r="E22" s="33"/>
      <c r="F22" s="33"/>
      <c r="G22" s="33"/>
      <c r="H22" s="33"/>
      <c r="I22" s="33"/>
      <c r="J22" s="33"/>
      <c r="K22" s="33"/>
    </row>
    <row r="23" customFormat="false" ht="12.75" hidden="false" customHeight="true" outlineLevel="0" collapsed="false">
      <c r="A23" s="33" t="s">
        <v>48</v>
      </c>
      <c r="B23" s="33"/>
      <c r="C23" s="33"/>
      <c r="D23" s="33"/>
      <c r="E23" s="33"/>
      <c r="F23" s="33"/>
      <c r="G23" s="33"/>
      <c r="H23" s="33"/>
      <c r="I23" s="33"/>
      <c r="J23" s="33"/>
      <c r="K23" s="33"/>
    </row>
    <row r="24" customFormat="false" ht="12.75" hidden="false" customHeight="true" outlineLevel="0" collapsed="false">
      <c r="A24" s="33" t="s">
        <v>49</v>
      </c>
      <c r="B24" s="33"/>
      <c r="C24" s="33"/>
      <c r="D24" s="33"/>
      <c r="E24" s="33"/>
      <c r="F24" s="33"/>
      <c r="G24" s="33"/>
      <c r="H24" s="33"/>
      <c r="I24" s="33"/>
      <c r="J24" s="33"/>
      <c r="K24" s="33"/>
    </row>
  </sheetData>
  <mergeCells count="5">
    <mergeCell ref="A20:K20"/>
    <mergeCell ref="A21:K21"/>
    <mergeCell ref="A22:K22"/>
    <mergeCell ref="A23:K23"/>
    <mergeCell ref="A24:K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2026-09-01T07:35:05Z</dcterms:created>
  <dc:creator>openpyxl</dc:creator>
  <dc:description/>
  <dc:language>en-US</dc:language>
  <cp:lastModifiedBy/>
  <dcterms:modified xsi:type="dcterms:W3CDTF">2026-09-01T07:48:03Z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