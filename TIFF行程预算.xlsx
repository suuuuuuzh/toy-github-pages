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FF行程预算 Travel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<sst xmlns="http://schemas.openxmlformats.org/spreadsheetml/2006/main" count="67" uniqueCount="56">
  <si>
    <r>
      <rPr>
        <b val="true"/>
        <sz val="9"/>
        <rFont val="WenQuanYi Zen Hei"/>
        <family val="2"/>
      </rPr>
      <t xml:space="preserve">制作公司</t>
    </r>
    <r>
      <rPr>
        <b val="true"/>
        <sz val="9"/>
        <rFont val="Noto Sans CJK SC"/>
        <family val="0"/>
        <charset val="1"/>
      </rPr>
      <t xml:space="preserve">:</t>
    </r>
  </si>
  <si>
    <t xml:space="preserve">廿一影视</t>
  </si>
  <si>
    <r>
      <rPr>
        <b val="true"/>
        <sz val="9"/>
        <rFont val="WenQuanYi Zen Hei"/>
        <family val="2"/>
      </rPr>
      <t xml:space="preserve">片名</t>
    </r>
    <r>
      <rPr>
        <b val="true"/>
        <sz val="9"/>
        <rFont val="Noto Sans CJK SC"/>
        <family val="0"/>
        <charset val="1"/>
      </rPr>
      <t xml:space="preserve">:</t>
    </r>
  </si>
  <si>
    <t xml:space="preserve">Beans and Belief</t>
  </si>
  <si>
    <r>
      <rPr>
        <b val="true"/>
        <sz val="9"/>
        <rFont val="WenQuanYi Zen Hei"/>
        <family val="2"/>
      </rPr>
      <t xml:space="preserve">项目名称</t>
    </r>
    <r>
      <rPr>
        <b val="true"/>
        <sz val="9"/>
        <rFont val="Noto Sans CJK SC"/>
        <family val="0"/>
        <charset val="1"/>
      </rPr>
      <t xml:space="preserve">:</t>
    </r>
  </si>
  <si>
    <t xml:space="preserve">TIFF</t>
  </si>
  <si>
    <r>
      <rPr>
        <b val="true"/>
        <sz val="9"/>
        <rFont val="WenQuanYi Zen Hei"/>
        <family val="2"/>
      </rPr>
      <t xml:space="preserve">报表名称</t>
    </r>
    <r>
      <rPr>
        <b val="true"/>
        <sz val="9"/>
        <rFont val="Noto Sans CJK SC"/>
        <family val="0"/>
        <charset val="1"/>
      </rPr>
      <t xml:space="preserve">:</t>
    </r>
  </si>
  <si>
    <r>
      <rPr>
        <sz val="9"/>
        <rFont val="Noto Sans CJK SC"/>
        <family val="0"/>
        <charset val="1"/>
      </rPr>
      <t xml:space="preserve">TIFF </t>
    </r>
    <r>
      <rPr>
        <sz val="9"/>
        <rFont val="WenQuanYi Zen Hei"/>
        <family val="2"/>
      </rPr>
      <t xml:space="preserve">行程预算 </t>
    </r>
    <r>
      <rPr>
        <sz val="9"/>
        <rFont val="Noto Sans CJK SC"/>
        <family val="0"/>
        <charset val="1"/>
      </rPr>
      <t xml:space="preserve">/ TIFF Travel Budget</t>
    </r>
  </si>
  <si>
    <r>
      <rPr>
        <b val="true"/>
        <sz val="9"/>
        <rFont val="WenQuanYi Zen Hei"/>
        <family val="2"/>
      </rPr>
      <t xml:space="preserve">币种</t>
    </r>
    <r>
      <rPr>
        <b val="true"/>
        <sz val="9"/>
        <rFont val="Noto Sans CJK SC"/>
        <family val="0"/>
        <charset val="1"/>
      </rPr>
      <t xml:space="preserve">:</t>
    </r>
  </si>
  <si>
    <r>
      <rPr>
        <sz val="9"/>
        <rFont val="Noto Sans CJK SC"/>
        <family val="0"/>
        <charset val="1"/>
      </rPr>
      <t xml:space="preserve">RMB </t>
    </r>
    <r>
      <rPr>
        <sz val="9"/>
        <rFont val="WenQuanYi Zen Hei"/>
        <family val="2"/>
      </rPr>
      <t xml:space="preserve">人民币</t>
    </r>
  </si>
  <si>
    <r>
      <rPr>
        <b val="true"/>
        <sz val="9"/>
        <rFont val="WenQuanYi Zen Hei"/>
        <family val="2"/>
      </rPr>
      <t xml:space="preserve">报表日期</t>
    </r>
    <r>
      <rPr>
        <b val="true"/>
        <sz val="9"/>
        <rFont val="Noto Sans CJK SC"/>
        <family val="0"/>
        <charset val="1"/>
      </rPr>
      <t xml:space="preserve">:</t>
    </r>
  </si>
  <si>
    <t xml:space="preserve">2026-09-01</t>
  </si>
  <si>
    <r>
      <rPr>
        <b val="true"/>
        <sz val="9"/>
        <rFont val="WenQuanYi Zen Hei"/>
        <family val="2"/>
      </rPr>
      <t xml:space="preserve">汇率 </t>
    </r>
    <r>
      <rPr>
        <b val="true"/>
        <sz val="9"/>
        <rFont val="Noto Sans CJK SC"/>
        <family val="0"/>
        <charset val="1"/>
      </rPr>
      <t xml:space="preserve">USD→RMB:</t>
    </r>
  </si>
  <si>
    <r>
      <rPr>
        <b val="true"/>
        <sz val="9"/>
        <rFont val="Arial"/>
        <family val="0"/>
        <charset val="1"/>
      </rPr>
      <t xml:space="preserve">No. </t>
    </r>
    <r>
      <rPr>
        <b val="true"/>
        <sz val="9"/>
        <rFont val="WenQuanYi Zen Hei"/>
        <family val="2"/>
      </rPr>
      <t xml:space="preserve">编号</t>
    </r>
  </si>
  <si>
    <r>
      <rPr>
        <b val="true"/>
        <sz val="9"/>
        <rFont val="Arial"/>
        <family val="0"/>
        <charset val="1"/>
      </rPr>
      <t xml:space="preserve">Items/</t>
    </r>
    <r>
      <rPr>
        <b val="true"/>
        <sz val="9"/>
        <rFont val="WenQuanYi Zen Hei"/>
        <family val="2"/>
      </rPr>
      <t xml:space="preserve">预算科目</t>
    </r>
  </si>
  <si>
    <r>
      <rPr>
        <b val="true"/>
        <sz val="9"/>
        <rFont val="Arial"/>
        <family val="0"/>
        <charset val="1"/>
      </rPr>
      <t xml:space="preserve">Dept./</t>
    </r>
    <r>
      <rPr>
        <b val="true"/>
        <sz val="9"/>
        <rFont val="WenQuanYi Zen Hei"/>
        <family val="2"/>
      </rPr>
      <t xml:space="preserve">组别</t>
    </r>
  </si>
  <si>
    <r>
      <rPr>
        <b val="true"/>
        <sz val="9"/>
        <rFont val="Arial"/>
        <family val="0"/>
        <charset val="1"/>
      </rPr>
      <t xml:space="preserve">Staff/</t>
    </r>
    <r>
      <rPr>
        <b val="true"/>
        <sz val="9"/>
        <rFont val="WenQuanYi Zen Hei"/>
        <family val="2"/>
      </rPr>
      <t xml:space="preserve">工种科目</t>
    </r>
  </si>
  <si>
    <r>
      <rPr>
        <b val="true"/>
        <sz val="9"/>
        <rFont val="Arial"/>
        <family val="0"/>
        <charset val="1"/>
      </rPr>
      <t xml:space="preserve">Rate/</t>
    </r>
    <r>
      <rPr>
        <b val="true"/>
        <sz val="9"/>
        <rFont val="WenQuanYi Zen Hei"/>
        <family val="2"/>
      </rPr>
      <t xml:space="preserve">单价</t>
    </r>
  </si>
  <si>
    <r>
      <rPr>
        <b val="true"/>
        <sz val="9"/>
        <rFont val="Arial"/>
        <family val="0"/>
        <charset val="1"/>
      </rPr>
      <t xml:space="preserve">Time/</t>
    </r>
    <r>
      <rPr>
        <b val="true"/>
        <sz val="9"/>
        <rFont val="WenQuanYi Zen Hei"/>
        <family val="2"/>
      </rPr>
      <t xml:space="preserve">周期</t>
    </r>
  </si>
  <si>
    <r>
      <rPr>
        <b val="true"/>
        <sz val="9"/>
        <rFont val="Arial"/>
        <family val="0"/>
        <charset val="1"/>
      </rPr>
      <t xml:space="preserve">Unit/</t>
    </r>
    <r>
      <rPr>
        <b val="true"/>
        <sz val="9"/>
        <rFont val="WenQuanYi Zen Hei"/>
        <family val="2"/>
      </rPr>
      <t xml:space="preserve">单位</t>
    </r>
  </si>
  <si>
    <t xml:space="preserve">X</t>
  </si>
  <si>
    <t xml:space="preserve">RMB</t>
  </si>
  <si>
    <t xml:space="preserve">比例</t>
  </si>
  <si>
    <t xml:space="preserve">备注</t>
  </si>
  <si>
    <t xml:space="preserve">1000</t>
  </si>
  <si>
    <t xml:space="preserve">机票 FLIGHTS</t>
  </si>
  <si>
    <t xml:space="preserve">100101</t>
  </si>
  <si>
    <t xml:space="preserve">机票 / 色珍 — 拉萨-北京</t>
  </si>
  <si>
    <t xml:space="preserve">电影节</t>
  </si>
  <si>
    <t xml:space="preserve">色珍</t>
  </si>
  <si>
    <t xml:space="preserve">单程</t>
  </si>
  <si>
    <t xml:space="preserve">100102</t>
  </si>
  <si>
    <t xml:space="preserve">机票 / 色珍 — 北京-多伦多-拉萨</t>
  </si>
  <si>
    <t xml:space="preserve">往返</t>
  </si>
  <si>
    <t xml:space="preserve">往返；色珍机票合计 20,200</t>
  </si>
  <si>
    <t xml:space="preserve">100103</t>
  </si>
  <si>
    <t xml:space="preserve">机票 / 水素 — 往返</t>
  </si>
  <si>
    <t xml:space="preserve">水素</t>
  </si>
  <si>
    <t xml:space="preserve">2000</t>
  </si>
  <si>
    <t xml:space="preserve">住宿 ACCOMMODATION（Airbnb，USD计价）</t>
  </si>
  <si>
    <t xml:space="preserve">200101</t>
  </si>
  <si>
    <t xml:space="preserve">住宿 / Airbnb</t>
  </si>
  <si>
    <r>
      <rPr>
        <sz val="9"/>
        <color rgb="FF0000FF"/>
        <rFont val="Arial"/>
        <family val="0"/>
        <charset val="1"/>
      </rPr>
      <t xml:space="preserve">USD/</t>
    </r>
    <r>
      <rPr>
        <sz val="9"/>
        <color rgb="FF0000FF"/>
        <rFont val="WenQuanYi Zen Hei"/>
        <family val="2"/>
      </rPr>
      <t xml:space="preserve">晚</t>
    </r>
  </si>
  <si>
    <r>
      <rPr>
        <sz val="9"/>
        <rFont val="Noto Sans CJK SC"/>
        <family val="0"/>
        <charset val="1"/>
      </rPr>
      <t xml:space="preserve">9.9</t>
    </r>
    <r>
      <rPr>
        <sz val="9"/>
        <rFont val="WenQuanYi Zen Hei"/>
        <family val="2"/>
      </rPr>
      <t xml:space="preserve">入住–</t>
    </r>
    <r>
      <rPr>
        <sz val="9"/>
        <rFont val="Noto Sans CJK SC"/>
        <family val="0"/>
        <charset val="1"/>
      </rPr>
      <t xml:space="preserve">9.22</t>
    </r>
    <r>
      <rPr>
        <sz val="9"/>
        <rFont val="WenQuanYi Zen Hei"/>
        <family val="2"/>
      </rPr>
      <t xml:space="preserve">退房共</t>
    </r>
    <r>
      <rPr>
        <sz val="9"/>
        <rFont val="Noto Sans CJK SC"/>
        <family val="0"/>
        <charset val="1"/>
      </rPr>
      <t xml:space="preserve">13</t>
    </r>
    <r>
      <rPr>
        <sz val="9"/>
        <rFont val="WenQuanYi Zen Hei"/>
        <family val="2"/>
      </rPr>
      <t xml:space="preserve">晚，均价</t>
    </r>
    <r>
      <rPr>
        <sz val="9"/>
        <rFont val="Noto Sans CJK SC"/>
        <family val="0"/>
        <charset val="1"/>
      </rPr>
      <t xml:space="preserve">$350/</t>
    </r>
    <r>
      <rPr>
        <sz val="9"/>
        <rFont val="WenQuanYi Zen Hei"/>
        <family val="2"/>
      </rPr>
      <t xml:space="preserve">晚，</t>
    </r>
    <r>
      <rPr>
        <sz val="9"/>
        <rFont val="Noto Sans CJK SC"/>
        <family val="0"/>
        <charset val="1"/>
      </rPr>
      <t xml:space="preserve">RMB=$350×13</t>
    </r>
    <r>
      <rPr>
        <sz val="9"/>
        <rFont val="WenQuanYi Zen Hei"/>
        <family val="2"/>
      </rPr>
      <t xml:space="preserve">晚</t>
    </r>
    <r>
      <rPr>
        <sz val="9"/>
        <rFont val="Noto Sans CJK SC"/>
        <family val="0"/>
        <charset val="1"/>
      </rPr>
      <t xml:space="preserve">×</t>
    </r>
    <r>
      <rPr>
        <sz val="9"/>
        <rFont val="WenQuanYi Zen Hei"/>
        <family val="2"/>
      </rPr>
      <t xml:space="preserve">汇率</t>
    </r>
    <r>
      <rPr>
        <sz val="9"/>
        <rFont val="Noto Sans CJK SC"/>
        <family val="0"/>
        <charset val="1"/>
      </rPr>
      <t xml:space="preserve">6.73</t>
    </r>
  </si>
  <si>
    <t xml:space="preserve">3000</t>
  </si>
  <si>
    <t xml:space="preserve">餐饮 FOOD &amp; PER DIEM（USD计价）</t>
  </si>
  <si>
    <t xml:space="preserve">300101</t>
  </si>
  <si>
    <t xml:space="preserve">餐饮 / Per Diem — 1人×14天</t>
  </si>
  <si>
    <r>
      <rPr>
        <sz val="9"/>
        <color rgb="FF0000FF"/>
        <rFont val="Arial"/>
        <family val="0"/>
        <charset val="1"/>
      </rPr>
      <t xml:space="preserve">USD/</t>
    </r>
    <r>
      <rPr>
        <sz val="9"/>
        <color rgb="FF0000FF"/>
        <rFont val="WenQuanYi Zen Hei"/>
        <family val="2"/>
      </rPr>
      <t xml:space="preserve">天</t>
    </r>
  </si>
  <si>
    <r>
      <rPr>
        <sz val="9"/>
        <rFont val="Noto Sans CJK SC"/>
        <family val="0"/>
        <charset val="1"/>
      </rPr>
      <t xml:space="preserve">$50/</t>
    </r>
    <r>
      <rPr>
        <sz val="9"/>
        <rFont val="WenQuanYi Zen Hei"/>
        <family val="2"/>
      </rPr>
      <t xml:space="preserve">人</t>
    </r>
    <r>
      <rPr>
        <sz val="9"/>
        <rFont val="Noto Sans CJK SC"/>
        <family val="0"/>
        <charset val="1"/>
      </rPr>
      <t xml:space="preserve">/</t>
    </r>
    <r>
      <rPr>
        <sz val="9"/>
        <rFont val="WenQuanYi Zen Hei"/>
        <family val="2"/>
      </rPr>
      <t xml:space="preserve">天 </t>
    </r>
    <r>
      <rPr>
        <sz val="9"/>
        <rFont val="Noto Sans CJK SC"/>
        <family val="0"/>
        <charset val="1"/>
      </rPr>
      <t xml:space="preserve">× 14</t>
    </r>
    <r>
      <rPr>
        <sz val="9"/>
        <rFont val="WenQuanYi Zen Hei"/>
        <family val="2"/>
      </rPr>
      <t xml:space="preserve">天 </t>
    </r>
    <r>
      <rPr>
        <sz val="9"/>
        <rFont val="Noto Sans CJK SC"/>
        <family val="0"/>
        <charset val="1"/>
      </rPr>
      <t xml:space="preserve">× 1</t>
    </r>
    <r>
      <rPr>
        <sz val="9"/>
        <rFont val="WenQuanYi Zen Hei"/>
        <family val="2"/>
      </rPr>
      <t xml:space="preserve">人</t>
    </r>
  </si>
  <si>
    <t xml:space="preserve">300102</t>
  </si>
  <si>
    <t xml:space="preserve">餐饮 / Per Diem — 1人×8天</t>
  </si>
  <si>
    <r>
      <rPr>
        <sz val="9"/>
        <rFont val="Noto Sans CJK SC"/>
        <family val="0"/>
        <charset val="1"/>
      </rPr>
      <t xml:space="preserve">$50/</t>
    </r>
    <r>
      <rPr>
        <sz val="9"/>
        <rFont val="WenQuanYi Zen Hei"/>
        <family val="2"/>
      </rPr>
      <t xml:space="preserve">人</t>
    </r>
    <r>
      <rPr>
        <sz val="9"/>
        <rFont val="Noto Sans CJK SC"/>
        <family val="0"/>
        <charset val="1"/>
      </rPr>
      <t xml:space="preserve">/</t>
    </r>
    <r>
      <rPr>
        <sz val="9"/>
        <rFont val="WenQuanYi Zen Hei"/>
        <family val="2"/>
      </rPr>
      <t xml:space="preserve">天 </t>
    </r>
    <r>
      <rPr>
        <sz val="9"/>
        <rFont val="Noto Sans CJK SC"/>
        <family val="0"/>
        <charset val="1"/>
      </rPr>
      <t xml:space="preserve">× 8</t>
    </r>
    <r>
      <rPr>
        <sz val="9"/>
        <rFont val="WenQuanYi Zen Hei"/>
        <family val="2"/>
      </rPr>
      <t xml:space="preserve">天 </t>
    </r>
    <r>
      <rPr>
        <sz val="9"/>
        <rFont val="Noto Sans CJK SC"/>
        <family val="0"/>
        <charset val="1"/>
      </rPr>
      <t xml:space="preserve">× 1</t>
    </r>
    <r>
      <rPr>
        <sz val="9"/>
        <rFont val="WenQuanYi Zen Hei"/>
        <family val="2"/>
      </rPr>
      <t xml:space="preserve">人</t>
    </r>
  </si>
  <si>
    <t xml:space="preserve">4000</t>
  </si>
  <si>
    <t xml:space="preserve">不可预见费 CONTINGENCY</t>
  </si>
  <si>
    <t xml:space="preserve">总计 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</si>
</sst>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"/>
    <numFmt numFmtId="167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WenQuanYi Zen Hei"/>
      <family val="2"/>
    </font>
    <font>
      <b val="true"/>
      <sz val="9"/>
      <name val="Noto Sans CJK SC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9"/>
      <name val="Noto Sans CJK SC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name val="WenQuanYi Zen Hei"/>
      <family val="2"/>
      <charset val="1"/>
    </font>
    <font>
      <sz val="9"/>
      <name val="WenQuanYi Zen Hei"/>
      <family val="2"/>
      <charset val="1"/>
    </font>
    <font>
      <sz val="9"/>
      <color rgb="FF0000FF"/>
      <name val="Arial"/>
      <family val="0"/>
      <charset val="1"/>
    </font>
    <font>
      <sz val="9"/>
      <color rgb="FF0000FF"/>
      <name val="WenQuanYi Zen Hei"/>
      <family val="2"/>
      <charset val="1"/>
    </font>
    <font>
      <sz val="9"/>
      <color rgb="FF0000FF"/>
      <name val="WenQuanYi Zen Hei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WenQuanYi Zen Hei"/>
      <family val="2"/>
      <charset val="1"/>
    </font>
    <font>
      <b val="true"/>
      <sz val="9"/>
      <color rgb="FFFFFFFF"/>
      <name val="Noto Sans CJK S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ABF8F"/>
        <bgColor rgb="FFC4D79B"/>
      </patternFill>
    </fill>
    <fill>
      <patternFill patternType="solid">
        <fgColor rgb="FFC4D79B"/>
        <bgColor rgb="FFB8CCE4"/>
      </patternFill>
    </fill>
    <fill>
      <patternFill patternType="solid">
        <fgColor rgb="FFB8CCE4"/>
        <bgColor rgb="FF99CCFF"/>
      </patternFill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D7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8" min="8" style="1" width="5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6"/>
  </cols>
  <sheetData>
    <row r="1" customFormat="false" ht="15" hidden="false" customHeight="true" outlineLevel="0" collapsed="false">
      <c r="A1" s="2" t="s">
        <v>0</v>
      </c>
      <c r="B1" s="3" t="s">
        <v>1</v>
      </c>
    </row>
    <row r="2" customFormat="false" ht="15" hidden="false" customHeight="true" outlineLevel="0" collapsed="false">
      <c r="A2" s="2" t="s">
        <v>2</v>
      </c>
      <c r="B2" s="4" t="s">
        <v>3</v>
      </c>
    </row>
    <row r="3" customFormat="false" ht="15" hidden="false" customHeight="true" outlineLevel="0" collapsed="false">
      <c r="A3" s="2" t="s">
        <v>4</v>
      </c>
      <c r="B3" s="5" t="s">
        <v>5</v>
      </c>
    </row>
    <row r="4" customFormat="false" ht="15" hidden="false" customHeight="true" outlineLevel="0" collapsed="false">
      <c r="A4" s="2" t="s">
        <v>6</v>
      </c>
      <c r="B4" s="5" t="s">
        <v>7</v>
      </c>
    </row>
    <row r="5" customFormat="false" ht="15" hidden="false" customHeight="true" outlineLevel="0" collapsed="false">
      <c r="A5" s="2" t="s">
        <v>8</v>
      </c>
      <c r="B5" s="5" t="s">
        <v>9</v>
      </c>
    </row>
    <row r="6" customFormat="false" ht="15" hidden="false" customHeight="true" outlineLevel="0" collapsed="false">
      <c r="A6" s="2" t="s">
        <v>10</v>
      </c>
      <c r="B6" s="5" t="s">
        <v>11</v>
      </c>
      <c r="D6" s="6" t="s">
        <v>12</v>
      </c>
      <c r="E6" s="7" t="n">
        <v>6.73</v>
      </c>
    </row>
    <row r="7" customFormat="false" ht="15" hidden="false" customHeight="true" outlineLevel="0" collapsed="false">
      <c r="A7" s="8" t="s">
        <v>13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8" t="s">
        <v>20</v>
      </c>
      <c r="I7" s="8" t="s">
        <v>21</v>
      </c>
      <c r="J7" s="9" t="s">
        <v>22</v>
      </c>
      <c r="K7" s="9" t="s">
        <v>23</v>
      </c>
    </row>
    <row r="8" customFormat="false" ht="15" hidden="false" customHeight="true" outlineLevel="0" collapsed="false">
      <c r="A8" s="10" t="s">
        <v>24</v>
      </c>
      <c r="B8" s="11" t="s">
        <v>25</v>
      </c>
      <c r="C8" s="10"/>
      <c r="D8" s="10"/>
      <c r="E8" s="10"/>
      <c r="F8" s="10"/>
      <c r="G8" s="10"/>
      <c r="H8" s="10"/>
      <c r="I8" s="12" t="n">
        <f aca="false">SUM(I9:I11)</f>
        <v>32200</v>
      </c>
      <c r="J8" s="13" t="n">
        <f aca="false">IF(OR($I8="",$I$22=0),"",$I8/$I$22)</f>
        <v>0.439743528463834</v>
      </c>
      <c r="K8" s="11"/>
    </row>
    <row r="9" customFormat="false" ht="15" hidden="false" customHeight="true" outlineLevel="0" collapsed="false">
      <c r="A9" s="14" t="s">
        <v>26</v>
      </c>
      <c r="B9" s="15" t="s">
        <v>27</v>
      </c>
      <c r="C9" s="16" t="s">
        <v>28</v>
      </c>
      <c r="D9" s="16" t="s">
        <v>29</v>
      </c>
      <c r="E9" s="17" t="n">
        <v>2200</v>
      </c>
      <c r="F9" s="18" t="n">
        <v>1</v>
      </c>
      <c r="G9" s="19" t="s">
        <v>30</v>
      </c>
      <c r="H9" s="18" t="n">
        <v>1</v>
      </c>
      <c r="I9" s="20" t="n">
        <f aca="false">IF($E9="","",$E9*IF($F9="",1,$F9)*IF($H9="",1,$H9))</f>
        <v>2200</v>
      </c>
      <c r="J9" s="21" t="n">
        <f aca="false">IF(OR($I9="",$I$22=0),"",$I9/$I$22)</f>
        <v>0.0300445889012557</v>
      </c>
      <c r="K9" s="15" t="s">
        <v>30</v>
      </c>
    </row>
    <row r="10" customFormat="false" ht="15" hidden="false" customHeight="true" outlineLevel="0" collapsed="false">
      <c r="A10" s="14" t="s">
        <v>31</v>
      </c>
      <c r="B10" s="15" t="s">
        <v>32</v>
      </c>
      <c r="C10" s="16" t="s">
        <v>28</v>
      </c>
      <c r="D10" s="16" t="s">
        <v>29</v>
      </c>
      <c r="E10" s="17" t="n">
        <v>18000</v>
      </c>
      <c r="F10" s="18" t="n">
        <v>1</v>
      </c>
      <c r="G10" s="19" t="s">
        <v>33</v>
      </c>
      <c r="H10" s="18" t="n">
        <v>1</v>
      </c>
      <c r="I10" s="20" t="n">
        <f aca="false">IF($E10="","",$E10*IF($F10="",1,$F10)*IF($H10="",1,$H10))</f>
        <v>18000</v>
      </c>
      <c r="J10" s="21" t="n">
        <f aca="false">IF(OR($I10="",$I$22=0),"",$I10/$I$22)</f>
        <v>0.245819363737547</v>
      </c>
      <c r="K10" s="15" t="s">
        <v>34</v>
      </c>
    </row>
    <row r="11" customFormat="false" ht="15" hidden="false" customHeight="true" outlineLevel="0" collapsed="false">
      <c r="A11" s="14" t="s">
        <v>35</v>
      </c>
      <c r="B11" s="15" t="s">
        <v>36</v>
      </c>
      <c r="C11" s="16" t="s">
        <v>28</v>
      </c>
      <c r="D11" s="16" t="s">
        <v>37</v>
      </c>
      <c r="E11" s="17" t="n">
        <v>12000</v>
      </c>
      <c r="F11" s="18" t="n">
        <v>1</v>
      </c>
      <c r="G11" s="19" t="s">
        <v>33</v>
      </c>
      <c r="H11" s="18" t="n">
        <v>1</v>
      </c>
      <c r="I11" s="20" t="n">
        <f aca="false">IF($E11="","",$E11*IF($F11="",1,$F11)*IF($H11="",1,$H11))</f>
        <v>12000</v>
      </c>
      <c r="J11" s="21" t="n">
        <f aca="false">IF(OR($I11="",$I$22=0),"",$I11/$I$22)</f>
        <v>0.163879575825031</v>
      </c>
      <c r="K11" s="15" t="s">
        <v>33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10" t="s">
        <v>38</v>
      </c>
      <c r="B13" s="11" t="s">
        <v>39</v>
      </c>
      <c r="C13" s="10"/>
      <c r="D13" s="10"/>
      <c r="E13" s="10"/>
      <c r="F13" s="10"/>
      <c r="G13" s="10"/>
      <c r="H13" s="10"/>
      <c r="I13" s="12" t="n">
        <f aca="false">SUM(I14:I14)</f>
        <v>30621.5</v>
      </c>
      <c r="J13" s="13" t="n">
        <f aca="false">IF(OR($I13="",$I$22=0),"",$I13/$I$22)</f>
        <v>0.418186535927183</v>
      </c>
      <c r="K13" s="11"/>
    </row>
    <row r="14" customFormat="false" ht="15" hidden="false" customHeight="true" outlineLevel="0" collapsed="false">
      <c r="A14" s="14" t="s">
        <v>40</v>
      </c>
      <c r="B14" s="15" t="s">
        <v>41</v>
      </c>
      <c r="C14" s="16" t="s">
        <v>28</v>
      </c>
      <c r="D14" s="16"/>
      <c r="E14" s="17" t="n">
        <v>350</v>
      </c>
      <c r="F14" s="18" t="n">
        <v>13</v>
      </c>
      <c r="G14" s="18" t="s">
        <v>42</v>
      </c>
      <c r="H14" s="18" t="n">
        <v>1</v>
      </c>
      <c r="I14" s="20" t="n">
        <f aca="false">IF($E14="","",$E14*$E$6*IF($F14="",1,$F14)*IF($H14="",1,$H14))</f>
        <v>30621.5</v>
      </c>
      <c r="J14" s="21" t="n">
        <f aca="false">IF(OR($I14="",$I$22=0),"",$I14/$I$22)</f>
        <v>0.418186535927183</v>
      </c>
      <c r="K14" s="22" t="s">
        <v>43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10" t="s">
        <v>44</v>
      </c>
      <c r="B16" s="11" t="s">
        <v>45</v>
      </c>
      <c r="C16" s="10"/>
      <c r="D16" s="10"/>
      <c r="E16" s="10"/>
      <c r="F16" s="10"/>
      <c r="G16" s="10"/>
      <c r="H16" s="10"/>
      <c r="I16" s="12" t="n">
        <f aca="false">SUM(I17:I18)</f>
        <v>7403</v>
      </c>
      <c r="J16" s="13" t="n">
        <f aca="false">IF(OR($I16="",$I$22=0),"",$I16/$I$22)</f>
        <v>0.101100041652726</v>
      </c>
      <c r="K16" s="11"/>
    </row>
    <row r="17" customFormat="false" ht="15" hidden="false" customHeight="true" outlineLevel="0" collapsed="false">
      <c r="A17" s="14" t="s">
        <v>46</v>
      </c>
      <c r="B17" s="15" t="s">
        <v>47</v>
      </c>
      <c r="C17" s="16" t="s">
        <v>28</v>
      </c>
      <c r="D17" s="16"/>
      <c r="E17" s="17" t="n">
        <v>50</v>
      </c>
      <c r="F17" s="18" t="n">
        <v>14</v>
      </c>
      <c r="G17" s="18" t="s">
        <v>48</v>
      </c>
      <c r="H17" s="18" t="n">
        <v>1</v>
      </c>
      <c r="I17" s="20" t="n">
        <f aca="false">IF($E17="","",$E17*$E$6*IF($F17="",1,$F17)*IF($H17="",1,$H17))</f>
        <v>4711</v>
      </c>
      <c r="J17" s="21" t="n">
        <f aca="false">IF(OR($I17="",$I$22=0),"",$I17/$I$22)</f>
        <v>0.0643363901426435</v>
      </c>
      <c r="K17" s="22" t="s">
        <v>49</v>
      </c>
    </row>
    <row r="18" customFormat="false" ht="15" hidden="false" customHeight="true" outlineLevel="0" collapsed="false">
      <c r="A18" s="14" t="s">
        <v>50</v>
      </c>
      <c r="B18" s="15" t="s">
        <v>51</v>
      </c>
      <c r="C18" s="16" t="s">
        <v>28</v>
      </c>
      <c r="D18" s="16"/>
      <c r="E18" s="17" t="n">
        <v>50</v>
      </c>
      <c r="F18" s="18" t="n">
        <v>8</v>
      </c>
      <c r="G18" s="18" t="s">
        <v>48</v>
      </c>
      <c r="H18" s="18" t="n">
        <v>1</v>
      </c>
      <c r="I18" s="20" t="n">
        <f aca="false">IF($E18="","",$E18*$E$6*IF($F18="",1,$F18)*IF($H18="",1,$H18))</f>
        <v>2692</v>
      </c>
      <c r="J18" s="21" t="n">
        <f aca="false">IF(OR($I18="",$I$22=0),"",$I18/$I$22)</f>
        <v>0.036763651510082</v>
      </c>
      <c r="K18" s="22" t="s">
        <v>52</v>
      </c>
    </row>
    <row r="19" customFormat="false" ht="15" hidden="false" customHeight="true" outlineLevel="0" collapsed="false"/>
    <row r="20" customFormat="false" ht="15" hidden="false" customHeight="true" outlineLevel="0" collapsed="false">
      <c r="A20" s="23" t="s">
        <v>53</v>
      </c>
      <c r="B20" s="24" t="s">
        <v>54</v>
      </c>
      <c r="C20" s="23"/>
      <c r="D20" s="23"/>
      <c r="E20" s="25" t="n">
        <v>3000</v>
      </c>
      <c r="F20" s="23"/>
      <c r="G20" s="23" t="s">
        <v>21</v>
      </c>
      <c r="H20" s="23"/>
      <c r="I20" s="26" t="n">
        <f aca="false">IF($E20="","",$E20*IF($F20="",1,$F20)*IF($H20="",1,$H20))</f>
        <v>3000</v>
      </c>
      <c r="J20" s="27" t="n">
        <f aca="false">IF(OR($I20="",$I$22=0),"",$I20/$I$22)</f>
        <v>0.0409698939562578</v>
      </c>
      <c r="K20" s="24"/>
    </row>
    <row r="21" customFormat="false" ht="15" hidden="false" customHeight="true" outlineLevel="0" collapsed="false"/>
    <row r="22" customFormat="false" ht="15" hidden="false" customHeight="true" outlineLevel="0" collapsed="false">
      <c r="A22" s="28"/>
      <c r="B22" s="29" t="s">
        <v>55</v>
      </c>
      <c r="C22" s="28"/>
      <c r="D22" s="28"/>
      <c r="E22" s="28"/>
      <c r="F22" s="28"/>
      <c r="G22" s="28"/>
      <c r="H22" s="28"/>
      <c r="I22" s="30" t="n">
        <f aca="false">I8+I13+I16+I20</f>
        <v>73224.5</v>
      </c>
      <c r="J22" s="31" t="n">
        <f aca="false">IF($I$22=0,"",1)</f>
        <v>1</v>
      </c>
      <c r="K22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2026-09-01T07:51:04Z</dcterms:created>
  <dc:creator>openpyxl</dc:creator>
  <dc:description/>
  <dc:language>en-US</dc:language>
  <cp:lastModifiedBy/>
  <dcterms:modified xsi:type="dcterms:W3CDTF">2026-09-01T07:58:22Z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