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FF差旅住宿预算 Travel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<sst xmlns="http://schemas.openxmlformats.org/spreadsheetml/2006/main" count="66" uniqueCount="59">
  <si>
    <r>
      <rPr>
        <b val="true"/>
        <sz val="9"/>
        <rFont val="WenQuanYi Zen Hei"/>
        <family val="2"/>
      </rPr>
      <t xml:space="preserve">制作公司</t>
    </r>
    <r>
      <rPr>
        <b val="true"/>
        <sz val="9"/>
        <rFont val="Noto Sans CJK SC"/>
        <family val="0"/>
        <charset val="1"/>
      </rPr>
      <t xml:space="preserve">:</t>
    </r>
  </si>
  <si>
    <r>
      <rPr>
        <b val="true"/>
        <sz val="9"/>
        <rFont val="WenQuanYi Zen Hei"/>
        <family val="2"/>
      </rPr>
      <t xml:space="preserve">项目名称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</si>
  <si>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WenQuanYi Zen Hei"/>
        <family val="2"/>
      </rPr>
      <t xml:space="preserve">黑豆 </t>
    </r>
    <r>
      <rPr>
        <sz val="9"/>
        <rFont val="Noto Sans CJK SC"/>
        <family val="0"/>
        <charset val="1"/>
      </rPr>
      <t xml:space="preserve">(Black Bean)</t>
    </r>
  </si>
  <si>
    <r>
      <rPr>
        <b val="true"/>
        <sz val="9"/>
        <rFont val="WenQuanYi Zen Hei"/>
        <family val="2"/>
      </rPr>
      <t xml:space="preserve">报表名称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</si>
  <si>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TIFF </t>
    </r>
    <r>
      <rPr>
        <sz val="9"/>
        <rFont val="WenQuanYi Zen Hei"/>
        <family val="2"/>
      </rPr>
      <t xml:space="preserve">差旅</t>
    </r>
    <r>
      <rPr>
        <sz val="9"/>
        <rFont val="Noto Sans CJK SC"/>
        <family val="0"/>
        <charset val="1"/>
      </rPr>
      <t xml:space="preserve">+</t>
    </r>
    <r>
      <rPr>
        <sz val="9"/>
        <rFont val="WenQuanYi Zen Hei"/>
        <family val="2"/>
      </rPr>
      <t xml:space="preserve">住宿费用预算 </t>
    </r>
    <r>
      <rPr>
        <sz val="9"/>
        <rFont val="Noto Sans CJK SC"/>
        <family val="0"/>
        <charset val="1"/>
      </rPr>
      <t xml:space="preserve">/ TIFF Travel &amp; Accommodation Budget</t>
    </r>
  </si>
  <si>
    <r>
      <rPr>
        <b val="true"/>
        <sz val="9"/>
        <rFont val="WenQuanYi Zen Hei"/>
        <family val="2"/>
      </rPr>
      <t xml:space="preserve">币种</t>
    </r>
    <r>
      <rPr>
        <b val="true"/>
        <sz val="9"/>
        <rFont val="Noto Sans CJK SC"/>
        <family val="0"/>
        <charset val="1"/>
      </rPr>
      <t xml:space="preserve">:</t>
    </r>
  </si>
  <si>
    <r>
      <rPr>
        <sz val="9"/>
        <rFont val="Noto Sans CJK SC"/>
        <family val="0"/>
        <charset val="1"/>
      </rPr>
      <t xml:space="preserve">RMB </t>
    </r>
    <r>
      <rPr>
        <sz val="9"/>
        <rFont val="WenQuanYi Zen Hei"/>
        <family val="2"/>
      </rPr>
      <t xml:space="preserve">人民币</t>
    </r>
  </si>
  <si>
    <r>
      <rPr>
        <b val="true"/>
        <sz val="9"/>
        <rFont val="WenQuanYi Zen Hei"/>
        <family val="2"/>
      </rPr>
      <t xml:space="preserve">报表日期</t>
    </r>
    <r>
      <rPr>
        <b val="true"/>
        <sz val="9"/>
        <rFont val="Noto Sans CJK SC"/>
        <family val="0"/>
        <charset val="1"/>
      </rPr>
      <t xml:space="preserve">:</t>
    </r>
  </si>
  <si>
    <t xml:space="preserve">2026-08-29</t>
  </si>
  <si>
    <r>
      <rPr>
        <b val="true"/>
        <sz val="9"/>
        <rFont val="WenQuanYi Zen Hei"/>
        <family val="2"/>
      </rPr>
      <t xml:space="preserve">汇率 </t>
    </r>
    <r>
      <rPr>
        <b val="true"/>
        <sz val="9"/>
        <rFont val="Noto Sans CJK SC"/>
        <family val="0"/>
        <charset val="1"/>
      </rPr>
      <t xml:space="preserve">USD→RMB:</t>
    </r>
  </si>
  <si>
    <r>
      <rPr>
        <b val="true"/>
        <sz val="9"/>
        <rFont val="Arial"/>
        <family val="0"/>
        <charset val="1"/>
      </rPr>
      <t xml:space="preserve">No. </t>
    </r>
    <r>
      <rPr>
        <b val="true"/>
        <sz val="9"/>
        <rFont val="WenQuanYi Zen Hei"/>
        <family val="2"/>
      </rPr>
      <t xml:space="preserve">编号</t>
    </r>
  </si>
  <si>
    <r>
      <rPr>
        <b val="true"/>
        <sz val="9"/>
        <rFont val="Arial"/>
        <family val="0"/>
        <charset val="1"/>
      </rPr>
      <t xml:space="preserve">Items/</t>
    </r>
    <r>
      <rPr>
        <b val="true"/>
        <sz val="9"/>
        <rFont val="WenQuanYi Zen Hei"/>
        <family val="2"/>
      </rPr>
      <t xml:space="preserve">预算科目</t>
    </r>
  </si>
  <si>
    <r>
      <rPr>
        <b val="true"/>
        <sz val="9"/>
        <rFont val="Arial"/>
        <family val="0"/>
        <charset val="1"/>
      </rPr>
      <t xml:space="preserve">Dept./</t>
    </r>
    <r>
      <rPr>
        <b val="true"/>
        <sz val="9"/>
        <rFont val="WenQuanYi Zen Hei"/>
        <family val="2"/>
      </rPr>
      <t xml:space="preserve">组别</t>
    </r>
  </si>
  <si>
    <r>
      <rPr>
        <b val="true"/>
        <sz val="9"/>
        <rFont val="Arial"/>
        <family val="0"/>
        <charset val="1"/>
      </rPr>
      <t xml:space="preserve">Staff/</t>
    </r>
    <r>
      <rPr>
        <b val="true"/>
        <sz val="9"/>
        <rFont val="WenQuanYi Zen Hei"/>
        <family val="2"/>
      </rPr>
      <t xml:space="preserve">工种科目</t>
    </r>
  </si>
  <si>
    <r>
      <rPr>
        <b val="true"/>
        <sz val="9"/>
        <rFont val="Arial"/>
        <family val="0"/>
        <charset val="1"/>
      </rPr>
      <t xml:space="preserve">Rate/</t>
    </r>
    <r>
      <rPr>
        <b val="true"/>
        <sz val="9"/>
        <rFont val="WenQuanYi Zen Hei"/>
        <family val="2"/>
      </rPr>
      <t xml:space="preserve">单价</t>
    </r>
  </si>
  <si>
    <r>
      <rPr>
        <b val="true"/>
        <sz val="9"/>
        <rFont val="Arial"/>
        <family val="0"/>
        <charset val="1"/>
      </rPr>
      <t xml:space="preserve">Time/</t>
    </r>
    <r>
      <rPr>
        <b val="true"/>
        <sz val="9"/>
        <rFont val="WenQuanYi Zen Hei"/>
        <family val="2"/>
      </rPr>
      <t xml:space="preserve">周期</t>
    </r>
  </si>
  <si>
    <r>
      <rPr>
        <b val="true"/>
        <sz val="9"/>
        <rFont val="Arial"/>
        <family val="0"/>
        <charset val="1"/>
      </rPr>
      <t xml:space="preserve">Unit/</t>
    </r>
    <r>
      <rPr>
        <b val="true"/>
        <sz val="9"/>
        <rFont val="WenQuanYi Zen Hei"/>
        <family val="2"/>
      </rPr>
      <t xml:space="preserve">单位</t>
    </r>
  </si>
  <si>
    <t xml:space="preserve">X</t>
  </si>
  <si>
    <t xml:space="preserve">RMB</t>
  </si>
  <si>
    <t xml:space="preserve">比例</t>
  </si>
  <si>
    <t xml:space="preserve">备注</t>
  </si>
  <si>
    <t xml:space="preserve">1000</t>
  </si>
  <si>
    <r>
      <rPr>
        <b val="true"/>
        <sz val="9"/>
        <rFont val="WenQuanYi Zen Hei"/>
        <family val="2"/>
      </rPr>
      <t xml:space="preserve">机票 </t>
    </r>
    <r>
      <rPr>
        <b val="true"/>
        <sz val="9"/>
        <rFont val="Noto Sans CJK SC"/>
        <family val="0"/>
        <charset val="1"/>
      </rPr>
      <t xml:space="preserve">FLIGHTS</t>
    </r>
  </si>
  <si>
    <t xml:space="preserve">100101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</si>
  <si>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Flights — </t>
    </r>
    <r>
      <rPr>
        <sz val="9"/>
        <rFont val="WenQuanYi Zen Hei"/>
        <family val="2"/>
      </rPr>
      <t xml:space="preserve">色珍</t>
    </r>
  </si>
  <si>
    <t xml:space="preserve">电影节</t>
  </si>
  <si>
    <t xml:space="preserve">色珍</t>
  </si>
  <si>
    <t xml:space="preserve">package</t>
  </si>
  <si>
    <t xml:space="preserve">多伦多往返，按实际报价填写</t>
  </si>
  <si>
    <t xml:space="preserve">100102</t>
  </si>
  <si>
    <r>
      <rPr>
        <sz val="9"/>
        <rFont val="WenQuanYi Zen Hei"/>
        <family val="2"/>
      </rPr>
      <t xml:space="preserve">机票 </t>
    </r>
    <r>
      <rPr>
        <sz val="9"/>
        <rFont val="Noto Sans CJK SC"/>
        <family val="0"/>
        <charset val="1"/>
      </rPr>
      <t xml:space="preserve">/ Flights — </t>
    </r>
    <r>
      <rPr>
        <sz val="9"/>
        <rFont val="WenQuanYi Zen Hei"/>
        <family val="2"/>
      </rPr>
      <t xml:space="preserve">水素</t>
    </r>
  </si>
  <si>
    <t xml:space="preserve">水素</t>
  </si>
  <si>
    <t xml:space="preserve">2000</t>
  </si>
  <si>
    <r>
      <rPr>
        <b val="true"/>
        <sz val="9"/>
        <rFont val="WenQuanYi Zen Hei"/>
        <family val="2"/>
      </rPr>
      <t xml:space="preserve">住宿 </t>
    </r>
    <r>
      <rPr>
        <b val="true"/>
        <sz val="9"/>
        <rFont val="Noto Sans CJK SC"/>
        <family val="0"/>
        <charset val="1"/>
      </rPr>
      <t xml:space="preserve">ACCOMMODATION</t>
    </r>
    <r>
      <rPr>
        <b val="true"/>
        <sz val="9"/>
        <rFont val="WenQuanYi Zen Hei"/>
        <family val="2"/>
      </rPr>
      <t xml:space="preserve">（</t>
    </r>
    <r>
      <rPr>
        <b val="true"/>
        <sz val="9"/>
        <rFont val="Noto Sans CJK SC"/>
        <family val="0"/>
        <charset val="1"/>
      </rPr>
      <t xml:space="preserve">Airbnb</t>
    </r>
    <r>
      <rPr>
        <b val="true"/>
        <sz val="9"/>
        <rFont val="WenQuanYi Zen Hei"/>
        <family val="2"/>
      </rPr>
      <t xml:space="preserve">，</t>
    </r>
    <r>
      <rPr>
        <b val="true"/>
        <sz val="9"/>
        <rFont val="Noto Sans CJK SC"/>
        <family val="0"/>
        <charset val="1"/>
      </rPr>
      <t xml:space="preserve">USD</t>
    </r>
    <r>
      <rPr>
        <b val="true"/>
        <sz val="9"/>
        <rFont val="WenQuanYi Zen Hei"/>
        <family val="2"/>
      </rPr>
      <t xml:space="preserve">计价）</t>
    </r>
  </si>
  <si>
    <t xml:space="preserve">200101</t>
  </si>
  <si>
    <r>
      <rPr>
        <sz val="9"/>
        <rFont val="WenQuanYi Zen Hei"/>
        <family val="2"/>
      </rPr>
      <t xml:space="preserve">住宿 </t>
    </r>
    <r>
      <rPr>
        <sz val="9"/>
        <rFont val="Noto Sans CJK SC"/>
        <family val="0"/>
        <charset val="1"/>
      </rPr>
      <t xml:space="preserve">/ Airbnb</t>
    </r>
  </si>
  <si>
    <t xml:space="preserve">USD</t>
  </si>
  <si>
    <r>
      <rPr>
        <sz val="9"/>
        <rFont val="Noto Sans CJK SC"/>
        <family val="0"/>
        <charset val="1"/>
      </rPr>
      <t xml:space="preserve">9.9</t>
    </r>
    <r>
      <rPr>
        <sz val="9"/>
        <rFont val="WenQuanYi Zen Hei"/>
        <family val="2"/>
      </rPr>
      <t xml:space="preserve">入住–</t>
    </r>
    <r>
      <rPr>
        <sz val="9"/>
        <rFont val="Noto Sans CJK SC"/>
        <family val="0"/>
        <charset val="1"/>
      </rPr>
      <t xml:space="preserve">9.22</t>
    </r>
    <r>
      <rPr>
        <sz val="9"/>
        <rFont val="WenQuanYi Zen Hei"/>
        <family val="2"/>
      </rPr>
      <t xml:space="preserve">退房共</t>
    </r>
    <r>
      <rPr>
        <sz val="9"/>
        <rFont val="Noto Sans CJK SC"/>
        <family val="0"/>
        <charset val="1"/>
      </rPr>
      <t xml:space="preserve">13</t>
    </r>
    <r>
      <rPr>
        <sz val="9"/>
        <rFont val="WenQuanYi Zen Hei"/>
        <family val="2"/>
      </rPr>
      <t xml:space="preserve">晚，均价约 </t>
    </r>
    <r>
      <rPr>
        <sz val="9"/>
        <rFont val="Noto Sans CJK SC"/>
        <family val="0"/>
        <charset val="1"/>
      </rPr>
      <t xml:space="preserve">$384.6/</t>
    </r>
    <r>
      <rPr>
        <sz val="9"/>
        <rFont val="WenQuanYi Zen Hei"/>
        <family val="2"/>
      </rPr>
      <t xml:space="preserve">晚（约</t>
    </r>
    <r>
      <rPr>
        <sz val="9"/>
        <rFont val="Noto Sans CJK SC"/>
        <family val="0"/>
        <charset val="1"/>
      </rPr>
      <t xml:space="preserve">¥2,588/</t>
    </r>
    <r>
      <rPr>
        <sz val="9"/>
        <rFont val="WenQuanYi Zen Hei"/>
        <family val="2"/>
      </rPr>
      <t xml:space="preserve">晚）</t>
    </r>
  </si>
  <si>
    <t xml:space="preserve">3000</t>
  </si>
  <si>
    <r>
      <rPr>
        <b val="true"/>
        <sz val="9"/>
        <rFont val="WenQuanYi Zen Hei"/>
        <family val="2"/>
      </rPr>
      <t xml:space="preserve">当地杂费 </t>
    </r>
    <r>
      <rPr>
        <b val="true"/>
        <sz val="9"/>
        <rFont val="Noto Sans CJK SC"/>
        <family val="0"/>
        <charset val="1"/>
      </rPr>
      <t xml:space="preserve">LOCAL &amp; MISC</t>
    </r>
  </si>
  <si>
    <t xml:space="preserve">300101</t>
  </si>
  <si>
    <r>
      <rPr>
        <sz val="9"/>
        <rFont val="WenQuanYi Zen Hei"/>
        <family val="2"/>
      </rPr>
      <t xml:space="preserve">餐饮 </t>
    </r>
    <r>
      <rPr>
        <sz val="9"/>
        <rFont val="Noto Sans CJK SC"/>
        <family val="0"/>
        <charset val="1"/>
      </rPr>
      <t xml:space="preserve">/ Food &amp; Per Diem</t>
    </r>
  </si>
  <si>
    <t xml:space="preserve">按天计，待填</t>
  </si>
  <si>
    <t xml:space="preserve">300102</t>
  </si>
  <si>
    <r>
      <rPr>
        <sz val="9"/>
        <rFont val="WenQuanYi Zen Hei"/>
        <family val="2"/>
      </rPr>
      <t xml:space="preserve">当地交通 </t>
    </r>
    <r>
      <rPr>
        <sz val="9"/>
        <rFont val="Noto Sans CJK SC"/>
        <family val="0"/>
        <charset val="1"/>
      </rPr>
      <t xml:space="preserve">/ Local Transport</t>
    </r>
  </si>
  <si>
    <t xml:space="preserve">待填</t>
  </si>
  <si>
    <t xml:space="preserve">300103</t>
  </si>
  <si>
    <r>
      <rPr>
        <sz val="9"/>
        <rFont val="WenQuanYi Zen Hei"/>
        <family val="2"/>
      </rPr>
      <t xml:space="preserve">签证费 </t>
    </r>
    <r>
      <rPr>
        <sz val="9"/>
        <rFont val="Noto Sans CJK SC"/>
        <family val="0"/>
        <charset val="1"/>
      </rPr>
      <t xml:space="preserve">/ Visa Fee</t>
    </r>
  </si>
  <si>
    <t xml:space="preserve">加拿大签证，待填</t>
  </si>
  <si>
    <t xml:space="preserve">4000</t>
  </si>
  <si>
    <r>
      <rPr>
        <b val="true"/>
        <sz val="9"/>
        <rFont val="WenQuanYi Zen Hei"/>
        <family val="2"/>
      </rPr>
      <t xml:space="preserve">不可预见费 </t>
    </r>
    <r>
      <rPr>
        <b val="true"/>
        <sz val="9"/>
        <rFont val="Noto Sans CJK SC"/>
        <family val="0"/>
        <charset val="1"/>
      </rPr>
      <t xml:space="preserve">CONTINGENCY</t>
    </r>
  </si>
  <si>
    <t xml:space="preserve">%</t>
  </si>
  <si>
    <t xml:space="preserve">比例可调整</t>
  </si>
  <si>
    <r>
      <rPr>
        <b val="true"/>
        <sz val="9"/>
        <color rgb="FFFFFFFF"/>
        <rFont val="WenQuanYi Zen Hei"/>
        <family val="2"/>
      </rPr>
      <t xml:space="preserve">总计 </t>
    </r>
    <r>
      <rPr>
        <b val="true"/>
        <sz val="9"/>
        <color rgb="FFFFFFFF"/>
        <rFont val="Noto Sans CJK SC"/>
        <family val="0"/>
        <charset val="1"/>
      </rPr>
      <t xml:space="preserve">GRAND TOTAL</t>
    </r>
  </si>
  <si>
    <r>
      <rPr>
        <b val="true"/>
        <sz val="8"/>
        <rFont val="WenQuanYi Zen Hei"/>
        <family val="2"/>
      </rPr>
      <t xml:space="preserve">填写说明 </t>
    </r>
    <r>
      <rPr>
        <b val="true"/>
        <sz val="8"/>
        <rFont val="Noto Sans CJK SC"/>
        <family val="0"/>
        <charset val="1"/>
      </rPr>
      <t xml:space="preserve">/ How to use: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</si>
  <si>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蓝色字体单元格为填写项：</t>
    </r>
    <r>
      <rPr>
        <sz val="8"/>
        <rFont val="Arial"/>
        <family val="0"/>
        <charset val="1"/>
      </rPr>
      <t xml:space="preserve">Rate/</t>
    </r>
    <r>
      <rPr>
        <sz val="8"/>
        <rFont val="WenQuanYi Zen Hei"/>
        <family val="2"/>
      </rPr>
      <t xml:space="preserve">单价、</t>
    </r>
    <r>
      <rPr>
        <sz val="8"/>
        <rFont val="Arial"/>
        <family val="0"/>
        <charset val="1"/>
      </rPr>
      <t xml:space="preserve">Time/</t>
    </r>
    <r>
      <rPr>
        <sz val="8"/>
        <rFont val="WenQuanYi Zen Hei"/>
        <family val="2"/>
      </rPr>
      <t xml:space="preserve">周期、</t>
    </r>
    <r>
      <rPr>
        <sz val="8"/>
        <rFont val="Arial"/>
        <family val="0"/>
        <charset val="1"/>
      </rPr>
      <t xml:space="preserve">Unit/</t>
    </r>
    <r>
      <rPr>
        <sz val="8"/>
        <rFont val="WenQuanYi Zen Hei"/>
        <family val="2"/>
      </rPr>
      <t xml:space="preserve">单位、</t>
    </r>
    <r>
      <rPr>
        <sz val="8"/>
        <rFont val="Arial"/>
        <family val="0"/>
        <charset val="1"/>
      </rPr>
      <t xml:space="preserve">X</t>
    </r>
    <r>
      <rPr>
        <sz val="8"/>
        <rFont val="WenQuanYi Zen Hei"/>
        <family val="2"/>
      </rPr>
      <t xml:space="preserve">（数量</t>
    </r>
    <r>
      <rPr>
        <sz val="8"/>
        <rFont val="Arial"/>
        <family val="0"/>
        <charset val="1"/>
      </rPr>
      <t xml:space="preserve">/</t>
    </r>
    <r>
      <rPr>
        <sz val="8"/>
        <rFont val="WenQuanYi Zen Hei"/>
        <family val="2"/>
      </rPr>
      <t xml:space="preserve">人数）；顶部黄色单元格填公司、日期、汇率。</t>
    </r>
  </si>
  <si>
    <r>
      <rPr>
        <sz val="8"/>
        <rFont val="Arial"/>
        <family val="0"/>
        <charset val="1"/>
      </rPr>
      <t xml:space="preserve">· RMB </t>
    </r>
    <r>
      <rPr>
        <sz val="8"/>
        <rFont val="WenQuanYi Zen Hei"/>
        <family val="2"/>
      </rPr>
      <t xml:space="preserve">列自动计算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单价 </t>
    </r>
    <r>
      <rPr>
        <sz val="8"/>
        <rFont val="Arial"/>
        <family val="0"/>
        <charset val="1"/>
      </rPr>
      <t xml:space="preserve">× </t>
    </r>
    <r>
      <rPr>
        <sz val="8"/>
        <rFont val="WenQuanYi Zen Hei"/>
        <family val="2"/>
      </rPr>
      <t xml:space="preserve">周期 </t>
    </r>
    <r>
      <rPr>
        <sz val="8"/>
        <rFont val="Arial"/>
        <family val="0"/>
        <charset val="1"/>
      </rPr>
      <t xml:space="preserve">× X</t>
    </r>
    <r>
      <rPr>
        <sz val="8"/>
        <rFont val="WenQuanYi Zen Hei"/>
        <family val="2"/>
      </rPr>
      <t xml:space="preserve">（周期或</t>
    </r>
    <r>
      <rPr>
        <sz val="8"/>
        <rFont val="Arial"/>
        <family val="0"/>
        <charset val="1"/>
      </rPr>
      <t xml:space="preserve">X</t>
    </r>
    <r>
      <rPr>
        <sz val="8"/>
        <rFont val="WenQuanYi Zen Hei"/>
        <family val="2"/>
      </rPr>
      <t xml:space="preserve">留空时按</t>
    </r>
    <r>
      <rPr>
        <sz val="8"/>
        <rFont val="Arial"/>
        <family val="0"/>
        <charset val="1"/>
      </rPr>
      <t xml:space="preserve">1</t>
    </r>
    <r>
      <rPr>
        <sz val="8"/>
        <rFont val="WenQuanYi Zen Hei"/>
        <family val="2"/>
      </rPr>
      <t xml:space="preserve">计）；</t>
    </r>
    <r>
      <rPr>
        <sz val="8"/>
        <rFont val="Arial"/>
        <family val="0"/>
        <charset val="1"/>
      </rPr>
      <t xml:space="preserve">USD </t>
    </r>
    <r>
      <rPr>
        <sz val="8"/>
        <rFont val="WenQuanYi Zen Hei"/>
        <family val="2"/>
      </rPr>
      <t xml:space="preserve">计价行另乘 </t>
    </r>
    <r>
      <rPr>
        <sz val="8"/>
        <rFont val="Arial"/>
        <family val="0"/>
        <charset val="1"/>
      </rPr>
      <t xml:space="preserve">B6 </t>
    </r>
    <r>
      <rPr>
        <sz val="8"/>
        <rFont val="WenQuanYi Zen Hei"/>
        <family val="2"/>
      </rPr>
      <t xml:space="preserve">汇率；比例列 </t>
    </r>
    <r>
      <rPr>
        <sz val="8"/>
        <rFont val="Arial"/>
        <family val="0"/>
        <charset val="1"/>
      </rPr>
      <t xml:space="preserve">= </t>
    </r>
    <r>
      <rPr>
        <sz val="8"/>
        <rFont val="WenQuanYi Zen Hei"/>
        <family val="2"/>
      </rPr>
      <t xml:space="preserve">该行金额 </t>
    </r>
    <r>
      <rPr>
        <sz val="8"/>
        <rFont val="Arial"/>
        <family val="0"/>
        <charset val="1"/>
      </rPr>
      <t xml:space="preserve">÷ </t>
    </r>
    <r>
      <rPr>
        <sz val="8"/>
        <rFont val="WenQuanYi Zen Hei"/>
        <family val="2"/>
      </rPr>
      <t xml:space="preserve">总计，自动更新。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</si>
  <si>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机票金额（色珍 </t>
    </r>
    <r>
      <rPr>
        <sz val="8"/>
        <rFont val="Arial"/>
        <family val="0"/>
        <charset val="1"/>
      </rPr>
      <t xml:space="preserve">19,000 / </t>
    </r>
    <r>
      <rPr>
        <sz val="8"/>
        <rFont val="WenQuanYi Zen Hei"/>
        <family val="2"/>
      </rPr>
      <t xml:space="preserve">水素 </t>
    </r>
    <r>
      <rPr>
        <sz val="8"/>
        <rFont val="Arial"/>
        <family val="0"/>
        <charset val="1"/>
      </rPr>
      <t xml:space="preserve">16,000</t>
    </r>
    <r>
      <rPr>
        <sz val="8"/>
        <rFont val="WenQuanYi Zen Hei"/>
        <family val="2"/>
      </rPr>
      <t xml:space="preserve">）为 </t>
    </r>
    <r>
      <rPr>
        <sz val="8"/>
        <rFont val="Arial"/>
        <family val="0"/>
        <charset val="1"/>
      </rPr>
      <t xml:space="preserve">RMB</t>
    </r>
    <r>
      <rPr>
        <sz val="8"/>
        <rFont val="WenQuanYi Zen Hei"/>
        <family val="2"/>
      </rPr>
      <t xml:space="preserve">；住宿为 </t>
    </r>
    <r>
      <rPr>
        <sz val="8"/>
        <rFont val="Arial"/>
        <family val="0"/>
        <charset val="1"/>
      </rPr>
      <t xml:space="preserve">Airbnb </t>
    </r>
    <r>
      <rPr>
        <sz val="8"/>
        <rFont val="WenQuanYi Zen Hei"/>
        <family val="2"/>
      </rPr>
      <t xml:space="preserve">整租 </t>
    </r>
    <r>
      <rPr>
        <sz val="8"/>
        <rFont val="Arial"/>
        <family val="0"/>
        <charset val="1"/>
      </rPr>
      <t xml:space="preserve">$5,000</t>
    </r>
    <r>
      <rPr>
        <sz val="8"/>
        <rFont val="WenQuanYi Zen Hei"/>
        <family val="2"/>
      </rPr>
      <t xml:space="preserve">（</t>
    </r>
    <r>
      <rPr>
        <sz val="8"/>
        <rFont val="Arial"/>
        <family val="0"/>
        <charset val="1"/>
      </rPr>
      <t xml:space="preserve">9.9–9.22 </t>
    </r>
    <r>
      <rPr>
        <sz val="8"/>
        <rFont val="WenQuanYi Zen Hei"/>
        <family val="2"/>
      </rPr>
      <t xml:space="preserve">共</t>
    </r>
    <r>
      <rPr>
        <sz val="8"/>
        <rFont val="Arial"/>
        <family val="0"/>
        <charset val="1"/>
      </rPr>
      <t xml:space="preserve">13</t>
    </r>
    <r>
      <rPr>
        <sz val="8"/>
        <rFont val="WenQuanYi Zen Hei"/>
        <family val="2"/>
      </rPr>
      <t xml:space="preserve">晚，约</t>
    </r>
    <r>
      <rPr>
        <sz val="8"/>
        <rFont val="Arial"/>
        <family val="0"/>
        <charset val="1"/>
      </rPr>
      <t xml:space="preserve">$384.6/</t>
    </r>
    <r>
      <rPr>
        <sz val="8"/>
        <rFont val="WenQuanYi Zen Hei"/>
        <family val="2"/>
      </rPr>
      <t xml:space="preserve">晚），汇率默认 </t>
    </r>
    <r>
      <rPr>
        <sz val="8"/>
        <rFont val="Arial"/>
        <family val="0"/>
        <charset val="1"/>
      </rPr>
      <t xml:space="preserve">6.73</t>
    </r>
    <r>
      <rPr>
        <sz val="8"/>
        <rFont val="WenQuanYi Zen Hei"/>
        <family val="2"/>
      </rPr>
      <t xml:space="preserve">（</t>
    </r>
    <r>
      <rPr>
        <sz val="8"/>
        <rFont val="Arial"/>
        <family val="0"/>
        <charset val="1"/>
      </rPr>
      <t xml:space="preserve">2026-08-28 </t>
    </r>
    <r>
      <rPr>
        <sz val="8"/>
        <rFont val="WenQuanYi Zen Hei"/>
        <family val="2"/>
      </rPr>
      <t xml:space="preserve">市场价，可在 </t>
    </r>
    <r>
      <rPr>
        <sz val="8"/>
        <rFont val="Arial"/>
        <family val="0"/>
        <charset val="1"/>
      </rPr>
      <t xml:space="preserve">B6 </t>
    </r>
    <r>
      <rPr>
        <sz val="8"/>
        <rFont val="WenQuanYi Zen Hei"/>
        <family val="2"/>
      </rPr>
      <t xml:space="preserve">修改）。</t>
    </r>
  </si>
  <si>
    <r>
      <rPr>
        <sz val="8"/>
        <rFont val="Arial"/>
        <family val="0"/>
        <charset val="1"/>
      </rPr>
      <t xml:space="preserve">· </t>
    </r>
    <r>
      <rPr>
        <sz val="8"/>
        <rFont val="WenQuanYi Zen Hei"/>
        <family val="2"/>
      </rPr>
      <t xml:space="preserve">不可预见费默认按小计的 </t>
    </r>
    <r>
      <rPr>
        <sz val="8"/>
        <rFont val="Arial"/>
        <family val="0"/>
        <charset val="1"/>
      </rPr>
      <t xml:space="preserve">5% </t>
    </r>
    <r>
      <rPr>
        <sz val="8"/>
        <rFont val="WenQuanYi Zen Hei"/>
        <family val="2"/>
      </rPr>
      <t xml:space="preserve">计提，可在 </t>
    </r>
    <r>
      <rPr>
        <sz val="8"/>
        <rFont val="Arial"/>
        <family val="0"/>
        <charset val="1"/>
      </rPr>
      <t xml:space="preserve">E </t>
    </r>
    <r>
      <rPr>
        <sz val="8"/>
        <rFont val="WenQuanYi Zen Hei"/>
        <family val="2"/>
      </rPr>
      <t xml:space="preserve">列修改比例；不需要的行可整行删除，公式会自动适应。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</si>
</sst>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.00"/>
    <numFmt numFmtId="167" formatCode="0.00%"/>
    <numFmt numFmtId="168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WenQuanYi Zen Hei"/>
      <family val="2"/>
    </font>
    <font>
      <b val="true"/>
      <sz val="9"/>
      <name val="Noto Sans CJK SC"/>
      <family val="0"/>
      <charset val="1"/>
    </font>
    <font>
      <sz val="9"/>
      <color rgb="FF0000FF"/>
      <name val="Arial"/>
      <family val="0"/>
      <charset val="1"/>
    </font>
    <font>
      <sz val="9"/>
      <name val="WenQuanYi Zen Hei"/>
      <family val="2"/>
    </font>
    <font>
      <sz val="9"/>
      <name val="Noto Sans CJK SC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b val="true"/>
      <sz val="9"/>
      <color rgb="FFFFFFFF"/>
      <name val="Noto Sans CJK SC"/>
      <family val="0"/>
      <charset val="1"/>
    </font>
    <font>
      <b val="true"/>
      <sz val="8"/>
      <name val="WenQuanYi Zen Hei"/>
      <family val="2"/>
    </font>
    <font>
      <b val="true"/>
      <sz val="8"/>
      <name val="Noto Sans CJK SC"/>
      <family val="0"/>
      <charset val="1"/>
    </font>
    <font>
      <sz val="8"/>
      <name val="Arial"/>
      <family val="0"/>
      <charset val="1"/>
    </font>
    <font>
      <sz val="8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ABF8F"/>
        <bgColor rgb="FFC4D79B"/>
      </patternFill>
    </fill>
    <fill>
      <patternFill patternType="solid">
        <fgColor rgb="FFC4D79B"/>
        <bgColor rgb="FFB8CCE4"/>
      </patternFill>
    </fill>
    <fill>
      <patternFill patternType="solid">
        <fgColor rgb="FFB8CCE4"/>
        <bgColor rgb="FF99CCFF"/>
      </patternFill>
    </fill>
    <fill>
      <patternFill patternType="solid">
        <fgColor rgb="FF0000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BF8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8" min="8" style="0" width="5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44"/>
  </cols>
  <sheetData>
    <row r="1" customFormat="false" ht="15" hidden="false" customHeight="true" outlineLevel="0" collapsed="false">
      <c r="A1" s="1" t="s">
        <v>0</v>
      </c>
      <c r="B1" s="2"/>
    </row>
    <row r="2" customFormat="false" ht="15" hidden="false" customHeight="true" outlineLevel="0" collapsed="false">
      <c r="A2" s="1" t="s">
        <v>1</v>
      </c>
      <c r="B2" s="3" t="s">
        <v>2</v>
      </c>
    </row>
    <row r="3" customFormat="false" ht="15" hidden="false" customHeight="true" outlineLevel="0" collapsed="false">
      <c r="A3" s="1" t="s">
        <v>3</v>
      </c>
      <c r="B3" s="4" t="s">
        <v>4</v>
      </c>
    </row>
    <row r="4" customFormat="false" ht="15" hidden="false" customHeight="true" outlineLevel="0" collapsed="false">
      <c r="A4" s="1" t="s">
        <v>5</v>
      </c>
      <c r="B4" s="4" t="s">
        <v>6</v>
      </c>
    </row>
    <row r="5" customFormat="false" ht="15" hidden="false" customHeight="true" outlineLevel="0" collapsed="false">
      <c r="A5" s="1" t="s">
        <v>7</v>
      </c>
      <c r="B5" s="2" t="s">
        <v>8</v>
      </c>
    </row>
    <row r="6" customFormat="false" ht="15" hidden="false" customHeight="true" outlineLevel="0" collapsed="false">
      <c r="A6" s="1" t="s">
        <v>9</v>
      </c>
      <c r="B6" s="5" t="n">
        <v>6.73</v>
      </c>
    </row>
    <row r="7" customFormat="false" ht="15" hidden="false" customHeight="true" outlineLevel="0" collapsed="false">
      <c r="A7" s="6" t="s">
        <v>10</v>
      </c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  <c r="G7" s="6" t="s">
        <v>16</v>
      </c>
      <c r="H7" s="6" t="s">
        <v>17</v>
      </c>
      <c r="I7" s="6" t="s">
        <v>18</v>
      </c>
      <c r="J7" s="7" t="s">
        <v>19</v>
      </c>
      <c r="K7" s="7" t="s">
        <v>20</v>
      </c>
    </row>
    <row r="8" customFormat="false" ht="15" hidden="false" customHeight="true" outlineLevel="0" collapsed="false">
      <c r="A8" s="8" t="s">
        <v>21</v>
      </c>
      <c r="B8" s="9" t="s">
        <v>22</v>
      </c>
      <c r="C8" s="8"/>
      <c r="D8" s="8"/>
      <c r="E8" s="8"/>
      <c r="F8" s="8"/>
      <c r="G8" s="8"/>
      <c r="H8" s="8"/>
      <c r="I8" s="10" t="n">
        <f aca="false">SUM(I9:I10)</f>
        <v>35000</v>
      </c>
      <c r="J8" s="11" t="n">
        <f aca="false">IF(OR($I8="",$I$22=0),"",$I8/$I$22)</f>
        <v>0.485554746297645</v>
      </c>
      <c r="K8" s="9"/>
    </row>
    <row r="9" customFormat="false" ht="15" hidden="false" customHeight="true" outlineLevel="0" collapsed="false">
      <c r="A9" s="12" t="s">
        <v>23</v>
      </c>
      <c r="B9" s="13" t="s">
        <v>24</v>
      </c>
      <c r="C9" s="14" t="s">
        <v>25</v>
      </c>
      <c r="D9" s="14" t="s">
        <v>26</v>
      </c>
      <c r="E9" s="15" t="n">
        <v>19000</v>
      </c>
      <c r="F9" s="16" t="n">
        <v>1</v>
      </c>
      <c r="G9" s="16" t="s">
        <v>27</v>
      </c>
      <c r="H9" s="16" t="n">
        <v>1</v>
      </c>
      <c r="I9" s="17" t="n">
        <f aca="false">IF($E9="","",$E9*IF($F9="",1,$F9)*IF($H9="",1,$H9))</f>
        <v>19000</v>
      </c>
      <c r="J9" s="18" t="n">
        <f aca="false">IF(OR($I9="",$I$22=0),"",$I9/$I$22)</f>
        <v>0.263586862275865</v>
      </c>
      <c r="K9" s="13" t="s">
        <v>28</v>
      </c>
    </row>
    <row r="10" customFormat="false" ht="15" hidden="false" customHeight="true" outlineLevel="0" collapsed="false">
      <c r="A10" s="12" t="s">
        <v>29</v>
      </c>
      <c r="B10" s="13" t="s">
        <v>30</v>
      </c>
      <c r="C10" s="14" t="s">
        <v>25</v>
      </c>
      <c r="D10" s="14" t="s">
        <v>31</v>
      </c>
      <c r="E10" s="15" t="n">
        <v>16000</v>
      </c>
      <c r="F10" s="16" t="n">
        <v>1</v>
      </c>
      <c r="G10" s="16" t="s">
        <v>27</v>
      </c>
      <c r="H10" s="16" t="n">
        <v>1</v>
      </c>
      <c r="I10" s="17" t="n">
        <f aca="false">IF($E10="","",$E10*IF($F10="",1,$F10)*IF($H10="",1,$H10))</f>
        <v>16000</v>
      </c>
      <c r="J10" s="18" t="n">
        <f aca="false">IF(OR($I10="",$I$22=0),"",$I10/$I$22)</f>
        <v>0.221967884021781</v>
      </c>
      <c r="K10" s="13" t="s">
        <v>28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8" t="s">
        <v>32</v>
      </c>
      <c r="B12" s="9" t="s">
        <v>33</v>
      </c>
      <c r="C12" s="8"/>
      <c r="D12" s="8"/>
      <c r="E12" s="8"/>
      <c r="F12" s="8"/>
      <c r="G12" s="8"/>
      <c r="H12" s="8"/>
      <c r="I12" s="10" t="n">
        <f aca="false">SUM(I13:I13)</f>
        <v>33650</v>
      </c>
      <c r="J12" s="11" t="n">
        <f aca="false">IF(OR($I12="",$I$22=0),"",$I12/$I$22)</f>
        <v>0.466826206083307</v>
      </c>
      <c r="K12" s="9"/>
    </row>
    <row r="13" customFormat="false" ht="15" hidden="false" customHeight="true" outlineLevel="0" collapsed="false">
      <c r="A13" s="12" t="s">
        <v>34</v>
      </c>
      <c r="B13" s="13" t="s">
        <v>35</v>
      </c>
      <c r="C13" s="14" t="s">
        <v>25</v>
      </c>
      <c r="D13" s="14"/>
      <c r="E13" s="15" t="n">
        <v>5000</v>
      </c>
      <c r="F13" s="16" t="n">
        <v>1</v>
      </c>
      <c r="G13" s="16" t="s">
        <v>36</v>
      </c>
      <c r="H13" s="16" t="n">
        <v>1</v>
      </c>
      <c r="I13" s="17" t="n">
        <f aca="false">IF($E13="","",$E13*$B$6*IF($F13="",1,$F13)*IF($H13="",1,$H13))</f>
        <v>33650</v>
      </c>
      <c r="J13" s="18" t="n">
        <f aca="false">IF(OR($I13="",$I$22=0),"",$I13/$I$22)</f>
        <v>0.466826206083307</v>
      </c>
      <c r="K13" s="19" t="s">
        <v>37</v>
      </c>
    </row>
    <row r="14" customFormat="false" ht="15" hidden="false" customHeight="true" outlineLevel="0" collapsed="false"/>
    <row r="15" customFormat="false" ht="15" hidden="false" customHeight="true" outlineLevel="0" collapsed="false">
      <c r="A15" s="8" t="s">
        <v>38</v>
      </c>
      <c r="B15" s="9" t="s">
        <v>39</v>
      </c>
      <c r="C15" s="8"/>
      <c r="D15" s="8"/>
      <c r="E15" s="8"/>
      <c r="F15" s="8"/>
      <c r="G15" s="8"/>
      <c r="H15" s="8"/>
      <c r="I15" s="10" t="n">
        <f aca="false">SUM(I16:I18)</f>
        <v>0</v>
      </c>
      <c r="J15" s="11" t="n">
        <f aca="false">IF(OR($I15="",$I$22=0),"",$I15/$I$22)</f>
        <v>0</v>
      </c>
      <c r="K15" s="9"/>
    </row>
    <row r="16" customFormat="false" ht="15" hidden="false" customHeight="true" outlineLevel="0" collapsed="false">
      <c r="A16" s="12" t="s">
        <v>40</v>
      </c>
      <c r="B16" s="13" t="s">
        <v>41</v>
      </c>
      <c r="C16" s="14" t="s">
        <v>25</v>
      </c>
      <c r="D16" s="14"/>
      <c r="E16" s="15"/>
      <c r="F16" s="16"/>
      <c r="G16" s="16"/>
      <c r="H16" s="16"/>
      <c r="I16" s="17" t="str">
        <f aca="false">IF($E16="","",$E16*IF($F16="",1,$F16)*IF($H16="",1,$H16))</f>
        <v/>
      </c>
      <c r="J16" s="18" t="str">
        <f aca="false">IF(OR($I16="",$I$22=0),"",$I16/$I$22)</f>
        <v/>
      </c>
      <c r="K16" s="13" t="s">
        <v>42</v>
      </c>
    </row>
    <row r="17" customFormat="false" ht="15" hidden="false" customHeight="true" outlineLevel="0" collapsed="false">
      <c r="A17" s="12" t="s">
        <v>43</v>
      </c>
      <c r="B17" s="13" t="s">
        <v>44</v>
      </c>
      <c r="C17" s="14" t="s">
        <v>25</v>
      </c>
      <c r="D17" s="14"/>
      <c r="E17" s="15"/>
      <c r="F17" s="16"/>
      <c r="G17" s="16"/>
      <c r="H17" s="16"/>
      <c r="I17" s="17" t="str">
        <f aca="false">IF($E17="","",$E17*IF($F17="",1,$F17)*IF($H17="",1,$H17))</f>
        <v/>
      </c>
      <c r="J17" s="18" t="str">
        <f aca="false">IF(OR($I17="",$I$22=0),"",$I17/$I$22)</f>
        <v/>
      </c>
      <c r="K17" s="13" t="s">
        <v>45</v>
      </c>
    </row>
    <row r="18" customFormat="false" ht="15" hidden="false" customHeight="true" outlineLevel="0" collapsed="false">
      <c r="A18" s="12" t="s">
        <v>46</v>
      </c>
      <c r="B18" s="13" t="s">
        <v>47</v>
      </c>
      <c r="C18" s="14" t="s">
        <v>25</v>
      </c>
      <c r="D18" s="14"/>
      <c r="E18" s="15"/>
      <c r="F18" s="16"/>
      <c r="G18" s="16"/>
      <c r="H18" s="16"/>
      <c r="I18" s="17" t="str">
        <f aca="false">IF($E18="","",$E18*IF($F18="",1,$F18)*IF($H18="",1,$H18))</f>
        <v/>
      </c>
      <c r="J18" s="18" t="str">
        <f aca="false">IF(OR($I18="",$I$22=0),"",$I18/$I$22)</f>
        <v/>
      </c>
      <c r="K18" s="13" t="s">
        <v>48</v>
      </c>
    </row>
    <row r="19" customFormat="false" ht="15" hidden="false" customHeight="true" outlineLevel="0" collapsed="false"/>
    <row r="20" customFormat="false" ht="15" hidden="false" customHeight="true" outlineLevel="0" collapsed="false">
      <c r="A20" s="20" t="s">
        <v>49</v>
      </c>
      <c r="B20" s="21" t="s">
        <v>50</v>
      </c>
      <c r="C20" s="20"/>
      <c r="D20" s="20"/>
      <c r="E20" s="22" t="n">
        <v>0.05</v>
      </c>
      <c r="F20" s="20"/>
      <c r="G20" s="20" t="s">
        <v>51</v>
      </c>
      <c r="H20" s="20"/>
      <c r="I20" s="23" t="n">
        <f aca="false">($E20)*(I8+I12+I15)</f>
        <v>3432.5</v>
      </c>
      <c r="J20" s="24" t="n">
        <f aca="false">IF(OR($I20="",$I$22=0),"",$I20/$I$22)</f>
        <v>0.0476190476190476</v>
      </c>
      <c r="K20" s="21" t="s">
        <v>52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25"/>
      <c r="B22" s="26" t="s">
        <v>53</v>
      </c>
      <c r="C22" s="25"/>
      <c r="D22" s="25"/>
      <c r="E22" s="25"/>
      <c r="F22" s="25"/>
      <c r="G22" s="25"/>
      <c r="H22" s="25"/>
      <c r="I22" s="27" t="n">
        <f aca="false">(I8+I12+I15)+I20</f>
        <v>72082.5</v>
      </c>
      <c r="J22" s="28" t="n">
        <f aca="false">IF($I$22=0,"",1)</f>
        <v>1</v>
      </c>
      <c r="K22" s="29"/>
    </row>
    <row r="24" customFormat="false" ht="12.75" hidden="false" customHeight="true" outlineLevel="0" collapsed="false">
      <c r="A24" s="30" t="s">
        <v>54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5" customFormat="false" ht="12.75" hidden="false" customHeight="true" outlineLevel="0" collapsed="false">
      <c r="A25" s="31" t="s">
        <v>55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customFormat="false" ht="12.75" hidden="false" customHeight="true" outlineLevel="0" collapsed="false">
      <c r="A26" s="31" t="s">
        <v>56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customFormat="false" ht="12.75" hidden="false" customHeight="true" outlineLevel="0" collapsed="false">
      <c r="A27" s="31" t="s">
        <v>57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customFormat="false" ht="12.75" hidden="false" customHeight="true" outlineLevel="0" collapsed="false">
      <c r="A28" s="31" t="s">
        <v>58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</row>
  </sheetData>
  <mergeCells count="5">
    <mergeCell ref="A24:K24"/>
    <mergeCell ref="A25:K25"/>
    <mergeCell ref="A26:K26"/>
    <mergeCell ref="A27:K27"/>
    <mergeCell ref="A28:K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2026-08-29T18:10:43Z</dcterms:created>
  <dc:creator>openpyxl</dc:creator>
  <dc:description/>
  <dc:language>en-US</dc:language>
  <cp:lastModifiedBy/>
  <dcterms:modified xsi:type="dcterms:W3CDTF">2026-08-29T18:10:43Z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