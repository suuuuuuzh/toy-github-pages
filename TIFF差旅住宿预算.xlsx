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FF差旅住宿预算 Travel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<sst xmlns="http://schemas.openxmlformats.org/spreadsheetml/2006/main" count="76" uniqueCount="65">
  <si>
    <t xml:space="preserve">制作公司:</t>
  </si>
  <si>
    <t xml:space="preserve">项目名称:</t>
  </si>
  <si>
    <t xml:space="preserve">黑豆 (Black Bean)</t>
  </si>
  <si>
    <t xml:space="preserve">报表名称:</t>
  </si>
  <si>
    <r>
      <rPr>
        <sz val="9"/>
        <rFont val="Noto Sans CJK SC"/>
        <family val="0"/>
        <charset val="1"/>
      </rPr>
      <t xml:space="preserve">TIFF </t>
    </r>
    <r>
      <rPr>
        <sz val="9"/>
        <rFont val="WenQuanYi Zen Hei"/>
        <family val="2"/>
      </rPr>
      <t xml:space="preserve">差旅</t>
    </r>
    <r>
      <rPr>
        <sz val="9"/>
        <rFont val="Noto Sans CJK SC"/>
        <family val="0"/>
        <charset val="1"/>
      </rPr>
      <t xml:space="preserve">+</t>
    </r>
    <r>
      <rPr>
        <sz val="9"/>
        <rFont val="WenQuanYi Zen Hei"/>
        <family val="2"/>
      </rPr>
      <t xml:space="preserve">住宿费用预算 </t>
    </r>
    <r>
      <rPr>
        <sz val="9"/>
        <rFont val="Noto Sans CJK SC"/>
        <family val="0"/>
        <charset val="1"/>
      </rPr>
      <t xml:space="preserve">/ TIFF Travel &amp; Accommodation Budget</t>
    </r>
  </si>
  <si>
    <t xml:space="preserve">币种:</t>
  </si>
  <si>
    <r>
      <rPr>
        <sz val="9"/>
        <rFont val="Noto Sans CJK SC"/>
        <family val="0"/>
        <charset val="1"/>
      </rPr>
      <t xml:space="preserve">RMB </t>
    </r>
    <r>
      <rPr>
        <sz val="9"/>
        <rFont val="WenQuanYi Zen Hei"/>
        <family val="2"/>
      </rPr>
      <t xml:space="preserve">人民币</t>
    </r>
  </si>
  <si>
    <t xml:space="preserve">报表日期:</t>
  </si>
  <si>
    <t xml:space="preserve">2026-08-28</t>
  </si>
  <si>
    <r>
      <rPr>
        <b val="true"/>
        <sz val="9"/>
        <rFont val="WenQuanYi Zen Hei"/>
        <family val="2"/>
      </rPr>
      <t xml:space="preserve">汇率 </t>
    </r>
    <r>
      <rPr>
        <b val="true"/>
        <sz val="9"/>
        <rFont val="Noto Sans CJK SC"/>
        <family val="0"/>
        <charset val="1"/>
      </rPr>
      <t xml:space="preserve">USD→RMB:</t>
    </r>
  </si>
  <si>
    <r>
      <rPr>
        <b val="true"/>
        <sz val="9"/>
        <rFont val="Arial"/>
        <family val="0"/>
        <charset val="1"/>
      </rPr>
      <t xml:space="preserve">No. </t>
    </r>
    <r>
      <rPr>
        <b val="true"/>
        <sz val="9"/>
        <rFont val="WenQuanYi Zen Hei"/>
        <family val="2"/>
      </rPr>
      <t xml:space="preserve">编号</t>
    </r>
  </si>
  <si>
    <r>
      <rPr>
        <b val="true"/>
        <sz val="9"/>
        <rFont val="Arial"/>
        <family val="0"/>
        <charset val="1"/>
      </rPr>
      <t xml:space="preserve">Items/</t>
    </r>
    <r>
      <rPr>
        <b val="true"/>
        <sz val="9"/>
        <rFont val="WenQuanYi Zen Hei"/>
        <family val="2"/>
      </rPr>
      <t xml:space="preserve">预算科目</t>
    </r>
  </si>
  <si>
    <r>
      <rPr>
        <b val="true"/>
        <sz val="9"/>
        <rFont val="Arial"/>
        <family val="0"/>
        <charset val="1"/>
      </rPr>
      <t xml:space="preserve">Dept./</t>
    </r>
    <r>
      <rPr>
        <b val="true"/>
        <sz val="9"/>
        <rFont val="WenQuanYi Zen Hei"/>
        <family val="2"/>
      </rPr>
      <t xml:space="preserve">组别</t>
    </r>
  </si>
  <si>
    <r>
      <rPr>
        <b val="true"/>
        <sz val="9"/>
        <rFont val="Arial"/>
        <family val="0"/>
        <charset val="1"/>
      </rPr>
      <t xml:space="preserve">Staff/</t>
    </r>
    <r>
      <rPr>
        <b val="true"/>
        <sz val="9"/>
        <rFont val="WenQuanYi Zen Hei"/>
        <family val="2"/>
      </rPr>
      <t xml:space="preserve">工种科目</t>
    </r>
  </si>
  <si>
    <r>
      <rPr>
        <b val="true"/>
        <sz val="9"/>
        <rFont val="Arial"/>
        <family val="0"/>
        <charset val="1"/>
      </rPr>
      <t xml:space="preserve">Rate/</t>
    </r>
    <r>
      <rPr>
        <b val="true"/>
        <sz val="9"/>
        <rFont val="WenQuanYi Zen Hei"/>
        <family val="2"/>
      </rPr>
      <t xml:space="preserve">单价</t>
    </r>
  </si>
  <si>
    <r>
      <rPr>
        <b val="true"/>
        <sz val="9"/>
        <rFont val="Arial"/>
        <family val="0"/>
        <charset val="1"/>
      </rPr>
      <t xml:space="preserve">Time/</t>
    </r>
    <r>
      <rPr>
        <b val="true"/>
        <sz val="9"/>
        <rFont val="WenQuanYi Zen Hei"/>
        <family val="2"/>
      </rPr>
      <t xml:space="preserve">周期</t>
    </r>
  </si>
  <si>
    <r>
      <rPr>
        <b val="true"/>
        <sz val="9"/>
        <rFont val="Arial"/>
        <family val="0"/>
        <charset val="1"/>
      </rPr>
      <t xml:space="preserve">Unit/</t>
    </r>
    <r>
      <rPr>
        <b val="true"/>
        <sz val="9"/>
        <rFont val="WenQuanYi Zen Hei"/>
        <family val="2"/>
      </rPr>
      <t xml:space="preserve">单位</t>
    </r>
  </si>
  <si>
    <t xml:space="preserve">X</t>
  </si>
  <si>
    <t xml:space="preserve">RMB</t>
  </si>
  <si>
    <t xml:space="preserve">比例</t>
  </si>
  <si>
    <t xml:space="preserve">备注</t>
  </si>
  <si>
    <t xml:space="preserve">1000</t>
  </si>
  <si>
    <t xml:space="preserve">机票 FLIGHTS</t>
  </si>
  <si>
    <t xml:space="preserve">100101</t>
  </si>
  <si>
    <t xml:space="preserve">机票 / Flights — 色珍</t>
  </si>
  <si>
    <t xml:space="preserve">电影节</t>
  </si>
  <si>
    <t xml:space="preserve">色珍</t>
  </si>
  <si>
    <t xml:space="preserve">package</t>
  </si>
  <si>
    <t xml:space="preserve">多伦多往返，按实际报价填写</t>
  </si>
  <si>
    <t xml:space="preserve">100102</t>
  </si>
  <si>
    <t xml:space="preserve">机票 / Flights — 水素</t>
  </si>
  <si>
    <t xml:space="preserve">水素</t>
  </si>
  <si>
    <t xml:space="preserve">2000</t>
  </si>
  <si>
    <t xml:space="preserve">住宿 ACCOMMODATION（9.9–9.22 共13晚，USD计价）</t>
  </si>
  <si>
    <t xml:space="preserve">200101</t>
  </si>
  <si>
    <t xml:space="preserve">住宿 / Accommodation — 第一段</t>
  </si>
  <si>
    <t xml:space="preserve">USD</t>
  </si>
  <si>
    <r>
      <rPr>
        <sz val="9"/>
        <rFont val="Noto Sans CJK SC"/>
        <family val="0"/>
        <charset val="1"/>
      </rPr>
      <t xml:space="preserve">9.9 </t>
    </r>
    <r>
      <rPr>
        <sz val="9"/>
        <rFont val="WenQuanYi Zen Hei"/>
        <family val="2"/>
      </rPr>
      <t xml:space="preserve">起第一段，</t>
    </r>
    <r>
      <rPr>
        <sz val="9"/>
        <rFont val="Noto Sans CJK SC"/>
        <family val="0"/>
        <charset val="1"/>
      </rPr>
      <t xml:space="preserve">USD </t>
    </r>
    <r>
      <rPr>
        <sz val="9"/>
        <rFont val="WenQuanYi Zen Hei"/>
        <family val="2"/>
      </rPr>
      <t xml:space="preserve">计价，具体日期</t>
    </r>
    <r>
      <rPr>
        <sz val="9"/>
        <rFont val="Noto Sans CJK SC"/>
        <family val="0"/>
        <charset val="1"/>
      </rPr>
      <t xml:space="preserve">/</t>
    </r>
    <r>
      <rPr>
        <sz val="9"/>
        <rFont val="WenQuanYi Zen Hei"/>
        <family val="2"/>
      </rPr>
      <t xml:space="preserve">酒店待确认</t>
    </r>
  </si>
  <si>
    <t xml:space="preserve">200102</t>
  </si>
  <si>
    <t xml:space="preserve">住宿 / Accommodation — 第二段</t>
  </si>
  <si>
    <t xml:space="preserve">中段，USD 计价，具体日期/酒店待确认</t>
  </si>
  <si>
    <t xml:space="preserve">200103</t>
  </si>
  <si>
    <t xml:space="preserve">住宿 / Accommodation — 第三段</t>
  </si>
  <si>
    <t xml:space="preserve">至 9.22，USD 计价，具体日期/酒店待确认</t>
  </si>
  <si>
    <t xml:space="preserve">3000</t>
  </si>
  <si>
    <t xml:space="preserve">当地杂费 LOCAL &amp; MISC</t>
  </si>
  <si>
    <t xml:space="preserve">300101</t>
  </si>
  <si>
    <t xml:space="preserve">餐饮 / Food &amp; Per Diem</t>
  </si>
  <si>
    <t xml:space="preserve">按天计，待填</t>
  </si>
  <si>
    <t xml:space="preserve">300102</t>
  </si>
  <si>
    <t xml:space="preserve">当地交通 / Local Transport</t>
  </si>
  <si>
    <t xml:space="preserve">待填</t>
  </si>
  <si>
    <t xml:space="preserve">300103</t>
  </si>
  <si>
    <t xml:space="preserve">签证费 / Visa Fee</t>
  </si>
  <si>
    <t xml:space="preserve">加拿大签证，待填</t>
  </si>
  <si>
    <t xml:space="preserve">4000</t>
  </si>
  <si>
    <t xml:space="preserve">不可预见费 CONTINGENCY</t>
  </si>
  <si>
    <t xml:space="preserve">%</t>
  </si>
  <si>
    <t xml:space="preserve">比例可调整</t>
  </si>
  <si>
    <t xml:space="preserve">总计 GRAND TOTAL</t>
  </si>
  <si>
    <t xml:space="preserve">填写说明 / How to use:</t>
  </si>
  <si>
    <r>
      <rPr>
        <sz val="8"/>
        <rFont val="Arial"/>
        <family val="0"/>
        <charset val="1"/>
      </rPr>
      <t xml:space="preserve">· </t>
    </r>
    <r>
      <rPr>
        <sz val="8"/>
        <rFont val="WenQuanYi Zen Hei"/>
        <family val="2"/>
      </rPr>
      <t xml:space="preserve">蓝色字体单元格为填写项：</t>
    </r>
    <r>
      <rPr>
        <sz val="8"/>
        <rFont val="Arial"/>
        <family val="0"/>
        <charset val="1"/>
      </rPr>
      <t xml:space="preserve">Rate/</t>
    </r>
    <r>
      <rPr>
        <sz val="8"/>
        <rFont val="WenQuanYi Zen Hei"/>
        <family val="2"/>
      </rPr>
      <t xml:space="preserve">单价、</t>
    </r>
    <r>
      <rPr>
        <sz val="8"/>
        <rFont val="Arial"/>
        <family val="0"/>
        <charset val="1"/>
      </rPr>
      <t xml:space="preserve">Time/</t>
    </r>
    <r>
      <rPr>
        <sz val="8"/>
        <rFont val="WenQuanYi Zen Hei"/>
        <family val="2"/>
      </rPr>
      <t xml:space="preserve">周期、</t>
    </r>
    <r>
      <rPr>
        <sz val="8"/>
        <rFont val="Arial"/>
        <family val="0"/>
        <charset val="1"/>
      </rPr>
      <t xml:space="preserve">Unit/</t>
    </r>
    <r>
      <rPr>
        <sz val="8"/>
        <rFont val="WenQuanYi Zen Hei"/>
        <family val="2"/>
      </rPr>
      <t xml:space="preserve">单位、</t>
    </r>
    <r>
      <rPr>
        <sz val="8"/>
        <rFont val="Arial"/>
        <family val="0"/>
        <charset val="1"/>
      </rPr>
      <t xml:space="preserve">X</t>
    </r>
    <r>
      <rPr>
        <sz val="8"/>
        <rFont val="WenQuanYi Zen Hei"/>
        <family val="2"/>
      </rPr>
      <t xml:space="preserve">（数量</t>
    </r>
    <r>
      <rPr>
        <sz val="8"/>
        <rFont val="Arial"/>
        <family val="0"/>
        <charset val="1"/>
      </rPr>
      <t xml:space="preserve">/</t>
    </r>
    <r>
      <rPr>
        <sz val="8"/>
        <rFont val="WenQuanYi Zen Hei"/>
        <family val="2"/>
      </rPr>
      <t xml:space="preserve">人数）；顶部黄色单元格填公司、日期。</t>
    </r>
  </si>
  <si>
    <r>
      <rPr>
        <sz val="8"/>
        <rFont val="Arial"/>
        <family val="0"/>
        <charset val="1"/>
      </rPr>
      <t xml:space="preserve">· RMB </t>
    </r>
    <r>
      <rPr>
        <sz val="8"/>
        <rFont val="WenQuanYi Zen Hei"/>
        <family val="2"/>
      </rPr>
      <t xml:space="preserve">列自动计算 </t>
    </r>
    <r>
      <rPr>
        <sz val="8"/>
        <rFont val="Arial"/>
        <family val="0"/>
        <charset val="1"/>
      </rPr>
      <t xml:space="preserve">= </t>
    </r>
    <r>
      <rPr>
        <sz val="8"/>
        <rFont val="WenQuanYi Zen Hei"/>
        <family val="2"/>
      </rPr>
      <t xml:space="preserve">单价 </t>
    </r>
    <r>
      <rPr>
        <sz val="8"/>
        <rFont val="Arial"/>
        <family val="0"/>
        <charset val="1"/>
      </rPr>
      <t xml:space="preserve">× </t>
    </r>
    <r>
      <rPr>
        <sz val="8"/>
        <rFont val="WenQuanYi Zen Hei"/>
        <family val="2"/>
      </rPr>
      <t xml:space="preserve">周期 </t>
    </r>
    <r>
      <rPr>
        <sz val="8"/>
        <rFont val="Arial"/>
        <family val="0"/>
        <charset val="1"/>
      </rPr>
      <t xml:space="preserve">× X</t>
    </r>
    <r>
      <rPr>
        <sz val="8"/>
        <rFont val="WenQuanYi Zen Hei"/>
        <family val="2"/>
      </rPr>
      <t xml:space="preserve">（周期或</t>
    </r>
    <r>
      <rPr>
        <sz val="8"/>
        <rFont val="Arial"/>
        <family val="0"/>
        <charset val="1"/>
      </rPr>
      <t xml:space="preserve">X</t>
    </r>
    <r>
      <rPr>
        <sz val="8"/>
        <rFont val="WenQuanYi Zen Hei"/>
        <family val="2"/>
      </rPr>
      <t xml:space="preserve">留空时按</t>
    </r>
    <r>
      <rPr>
        <sz val="8"/>
        <rFont val="Arial"/>
        <family val="0"/>
        <charset val="1"/>
      </rPr>
      <t xml:space="preserve">1</t>
    </r>
    <r>
      <rPr>
        <sz val="8"/>
        <rFont val="WenQuanYi Zen Hei"/>
        <family val="2"/>
      </rPr>
      <t xml:space="preserve">计）；比例列 </t>
    </r>
    <r>
      <rPr>
        <sz val="8"/>
        <rFont val="Arial"/>
        <family val="0"/>
        <charset val="1"/>
      </rPr>
      <t xml:space="preserve">= </t>
    </r>
    <r>
      <rPr>
        <sz val="8"/>
        <rFont val="WenQuanYi Zen Hei"/>
        <family val="2"/>
      </rPr>
      <t xml:space="preserve">该行金额 </t>
    </r>
    <r>
      <rPr>
        <sz val="8"/>
        <rFont val="Arial"/>
        <family val="0"/>
        <charset val="1"/>
      </rPr>
      <t xml:space="preserve">÷ </t>
    </r>
    <r>
      <rPr>
        <sz val="8"/>
        <rFont val="WenQuanYi Zen Hei"/>
        <family val="2"/>
      </rPr>
      <t xml:space="preserve">总计，自动更新。</t>
    </r>
  </si>
  <si>
    <r>
      <rPr>
        <sz val="8"/>
        <rFont val="Arial"/>
        <family val="0"/>
        <charset val="1"/>
      </rPr>
      <t xml:space="preserve">· </t>
    </r>
    <r>
      <rPr>
        <sz val="8"/>
        <rFont val="WenQuanYi Zen Hei"/>
        <family val="2"/>
      </rPr>
      <t xml:space="preserve">机票金额（色珍 </t>
    </r>
    <r>
      <rPr>
        <sz val="8"/>
        <rFont val="Arial"/>
        <family val="0"/>
        <charset val="1"/>
      </rPr>
      <t xml:space="preserve">19,000 / </t>
    </r>
    <r>
      <rPr>
        <sz val="8"/>
        <rFont val="WenQuanYi Zen Hei"/>
        <family val="2"/>
      </rPr>
      <t xml:space="preserve">水素 </t>
    </r>
    <r>
      <rPr>
        <sz val="8"/>
        <rFont val="Arial"/>
        <family val="0"/>
        <charset val="1"/>
      </rPr>
      <t xml:space="preserve">16,000</t>
    </r>
    <r>
      <rPr>
        <sz val="8"/>
        <rFont val="WenQuanYi Zen Hei"/>
        <family val="2"/>
      </rPr>
      <t xml:space="preserve">）为 </t>
    </r>
    <r>
      <rPr>
        <sz val="8"/>
        <rFont val="Arial"/>
        <family val="0"/>
        <charset val="1"/>
      </rPr>
      <t xml:space="preserve">RMB</t>
    </r>
    <r>
      <rPr>
        <sz val="8"/>
        <rFont val="WenQuanYi Zen Hei"/>
        <family val="2"/>
      </rPr>
      <t xml:space="preserve">；住宿分段金额（</t>
    </r>
    <r>
      <rPr>
        <sz val="8"/>
        <rFont val="Arial"/>
        <family val="0"/>
        <charset val="1"/>
      </rPr>
      <t xml:space="preserve">760 / 900 / 3,800</t>
    </r>
    <r>
      <rPr>
        <sz val="8"/>
        <rFont val="WenQuanYi Zen Hei"/>
        <family val="2"/>
      </rPr>
      <t xml:space="preserve">，</t>
    </r>
    <r>
      <rPr>
        <sz val="8"/>
        <rFont val="Arial"/>
        <family val="0"/>
        <charset val="1"/>
      </rPr>
      <t xml:space="preserve">9.9–9.22 </t>
    </r>
    <r>
      <rPr>
        <sz val="8"/>
        <rFont val="WenQuanYi Zen Hei"/>
        <family val="2"/>
      </rPr>
      <t xml:space="preserve">共</t>
    </r>
    <r>
      <rPr>
        <sz val="8"/>
        <rFont val="Arial"/>
        <family val="0"/>
        <charset val="1"/>
      </rPr>
      <t xml:space="preserve">13</t>
    </r>
    <r>
      <rPr>
        <sz val="8"/>
        <rFont val="WenQuanYi Zen Hei"/>
        <family val="2"/>
      </rPr>
      <t xml:space="preserve">晚）为 </t>
    </r>
    <r>
      <rPr>
        <sz val="8"/>
        <rFont val="Arial"/>
        <family val="0"/>
        <charset val="1"/>
      </rPr>
      <t xml:space="preserve">USD</t>
    </r>
    <r>
      <rPr>
        <sz val="8"/>
        <rFont val="WenQuanYi Zen Hei"/>
        <family val="2"/>
      </rPr>
      <t xml:space="preserve">，</t>
    </r>
    <r>
      <rPr>
        <sz val="8"/>
        <rFont val="Arial"/>
        <family val="0"/>
        <charset val="1"/>
      </rPr>
      <t xml:space="preserve">RMB </t>
    </r>
    <r>
      <rPr>
        <sz val="8"/>
        <rFont val="WenQuanYi Zen Hei"/>
        <family val="2"/>
      </rPr>
      <t xml:space="preserve">列 </t>
    </r>
    <r>
      <rPr>
        <sz val="8"/>
        <rFont val="Arial"/>
        <family val="0"/>
        <charset val="1"/>
      </rPr>
      <t xml:space="preserve">= USD </t>
    </r>
    <r>
      <rPr>
        <sz val="8"/>
        <rFont val="WenQuanYi Zen Hei"/>
        <family val="2"/>
      </rPr>
      <t xml:space="preserve">金额 </t>
    </r>
    <r>
      <rPr>
        <sz val="8"/>
        <rFont val="Arial"/>
        <family val="0"/>
        <charset val="1"/>
      </rPr>
      <t xml:space="preserve">× B6 </t>
    </r>
    <r>
      <rPr>
        <sz val="8"/>
        <rFont val="WenQuanYi Zen Hei"/>
        <family val="2"/>
      </rPr>
      <t xml:space="preserve">汇率（默认 </t>
    </r>
    <r>
      <rPr>
        <sz val="8"/>
        <rFont val="Arial"/>
        <family val="0"/>
        <charset val="1"/>
      </rPr>
      <t xml:space="preserve">6.73</t>
    </r>
    <r>
      <rPr>
        <sz val="8"/>
        <rFont val="WenQuanYi Zen Hei"/>
        <family val="2"/>
      </rPr>
      <t xml:space="preserve">，</t>
    </r>
    <r>
      <rPr>
        <sz val="8"/>
        <rFont val="Arial"/>
        <family val="0"/>
        <charset val="1"/>
      </rPr>
      <t xml:space="preserve">2026-08-28 </t>
    </r>
    <r>
      <rPr>
        <sz val="8"/>
        <rFont val="WenQuanYi Zen Hei"/>
        <family val="2"/>
      </rPr>
      <t xml:space="preserve">市场价，可修改）。</t>
    </r>
  </si>
  <si>
    <r>
      <rPr>
        <sz val="8"/>
        <rFont val="Arial"/>
        <family val="0"/>
        <charset val="1"/>
      </rPr>
      <t xml:space="preserve">· </t>
    </r>
    <r>
      <rPr>
        <sz val="8"/>
        <rFont val="WenQuanYi Zen Hei"/>
        <family val="2"/>
      </rPr>
      <t xml:space="preserve">不可预见费默认按小计的 </t>
    </r>
    <r>
      <rPr>
        <sz val="8"/>
        <rFont val="Arial"/>
        <family val="0"/>
        <charset val="1"/>
      </rPr>
      <t xml:space="preserve">5% </t>
    </r>
    <r>
      <rPr>
        <sz val="8"/>
        <rFont val="WenQuanYi Zen Hei"/>
        <family val="2"/>
      </rPr>
      <t xml:space="preserve">计提，可在 </t>
    </r>
    <r>
      <rPr>
        <sz val="8"/>
        <rFont val="Arial"/>
        <family val="0"/>
        <charset val="1"/>
      </rPr>
      <t xml:space="preserve">E </t>
    </r>
    <r>
      <rPr>
        <sz val="8"/>
        <rFont val="WenQuanYi Zen Hei"/>
        <family val="2"/>
      </rPr>
      <t xml:space="preserve">列修改比例；不需要的行可整行删除，公式会自动适应。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</si>
</sst>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0"/>
    <numFmt numFmtId="167" formatCode="0.00%"/>
    <numFmt numFmtId="168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WenQuanYi Zen Hei"/>
      <family val="2"/>
      <charset val="1"/>
    </font>
    <font>
      <sz val="9"/>
      <color rgb="FF0000FF"/>
      <name val="Arial"/>
      <family val="0"/>
      <charset val="1"/>
    </font>
    <font>
      <sz val="9"/>
      <name val="WenQuanYi Zen Hei"/>
      <family val="2"/>
      <charset val="1"/>
    </font>
    <font>
      <sz val="9"/>
      <name val="Noto Sans CJK SC"/>
      <family val="0"/>
      <charset val="1"/>
    </font>
    <font>
      <sz val="9"/>
      <name val="WenQuanYi Zen Hei"/>
      <family val="2"/>
    </font>
    <font>
      <b val="true"/>
      <sz val="9"/>
      <name val="WenQuanYi Zen Hei"/>
      <family val="2"/>
    </font>
    <font>
      <b val="true"/>
      <sz val="9"/>
      <name val="Noto Sans CJK SC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WenQuanYi Zen Hei"/>
      <family val="2"/>
      <charset val="1"/>
    </font>
    <font>
      <b val="true"/>
      <sz val="9"/>
      <color rgb="FFFFFFFF"/>
      <name val="Noto Sans CJK SC"/>
      <family val="0"/>
      <charset val="1"/>
    </font>
    <font>
      <b val="true"/>
      <sz val="8"/>
      <name val="WenQuanYi Zen Hei"/>
      <family val="2"/>
      <charset val="1"/>
    </font>
    <font>
      <sz val="8"/>
      <name val="Arial"/>
      <family val="0"/>
      <charset val="1"/>
    </font>
    <font>
      <sz val="8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ABF8F"/>
        <bgColor rgb="FFC4D79B"/>
      </patternFill>
    </fill>
    <fill>
      <patternFill patternType="solid">
        <fgColor rgb="FFC4D79B"/>
        <bgColor rgb="FFB8CCE4"/>
      </patternFill>
    </fill>
    <fill>
      <patternFill patternType="solid">
        <fgColor rgb="FFB8CCE4"/>
        <bgColor rgb="FF99CCFF"/>
      </patternFill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D7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8" min="8" style="1" width="5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38"/>
  </cols>
  <sheetData>
    <row r="1" customFormat="false" ht="1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2" t="s">
        <v>1</v>
      </c>
      <c r="B2" s="4" t="s">
        <v>2</v>
      </c>
    </row>
    <row r="3" customFormat="false" ht="15" hidden="false" customHeight="true" outlineLevel="0" collapsed="false">
      <c r="A3" s="2" t="s">
        <v>3</v>
      </c>
      <c r="B3" s="5" t="s">
        <v>4</v>
      </c>
    </row>
    <row r="4" customFormat="false" ht="15" hidden="false" customHeight="true" outlineLevel="0" collapsed="false">
      <c r="A4" s="2" t="s">
        <v>5</v>
      </c>
      <c r="B4" s="5" t="s">
        <v>6</v>
      </c>
    </row>
    <row r="5" customFormat="false" ht="15" hidden="false" customHeight="true" outlineLevel="0" collapsed="false">
      <c r="A5" s="2" t="s">
        <v>7</v>
      </c>
      <c r="B5" s="3" t="s">
        <v>8</v>
      </c>
    </row>
    <row r="6" customFormat="false" ht="15" hidden="false" customHeight="true" outlineLevel="0" collapsed="false">
      <c r="A6" s="6" t="s">
        <v>9</v>
      </c>
      <c r="B6" s="7" t="n">
        <v>6.73</v>
      </c>
    </row>
    <row r="7" customFormat="false" ht="15" hidden="false" customHeight="tru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9" t="s">
        <v>19</v>
      </c>
      <c r="K7" s="9" t="s">
        <v>20</v>
      </c>
    </row>
    <row r="8" customFormat="false" ht="15" hidden="false" customHeight="true" outlineLevel="0" collapsed="false">
      <c r="A8" s="10" t="s">
        <v>21</v>
      </c>
      <c r="B8" s="11" t="s">
        <v>22</v>
      </c>
      <c r="C8" s="10"/>
      <c r="D8" s="10"/>
      <c r="E8" s="10"/>
      <c r="F8" s="10"/>
      <c r="G8" s="10"/>
      <c r="H8" s="10"/>
      <c r="I8" s="12" t="n">
        <f aca="false">SUM(I9:I10)</f>
        <v>35000</v>
      </c>
      <c r="J8" s="13" t="n">
        <f aca="false">IF(OR($I8="",$I$24=0),"",$I8/$I$24)</f>
        <v>0.464603270621184</v>
      </c>
      <c r="K8" s="11"/>
    </row>
    <row r="9" customFormat="false" ht="15" hidden="false" customHeight="true" outlineLevel="0" collapsed="false">
      <c r="A9" s="14" t="s">
        <v>23</v>
      </c>
      <c r="B9" s="15" t="s">
        <v>24</v>
      </c>
      <c r="C9" s="16" t="s">
        <v>25</v>
      </c>
      <c r="D9" s="16" t="s">
        <v>26</v>
      </c>
      <c r="E9" s="17" t="n">
        <v>19000</v>
      </c>
      <c r="F9" s="18" t="n">
        <v>1</v>
      </c>
      <c r="G9" s="18" t="s">
        <v>27</v>
      </c>
      <c r="H9" s="18" t="n">
        <v>1</v>
      </c>
      <c r="I9" s="19" t="n">
        <f aca="false">IF($E9="","",$E9*IF($F9="",1,$F9)*IF($H9="",1,$H9))</f>
        <v>19000</v>
      </c>
      <c r="J9" s="20" t="n">
        <f aca="false">IF(OR($I9="",$I$24=0),"",$I9/$I$24)</f>
        <v>0.2522132040515</v>
      </c>
      <c r="K9" s="15" t="s">
        <v>28</v>
      </c>
    </row>
    <row r="10" customFormat="false" ht="15" hidden="false" customHeight="true" outlineLevel="0" collapsed="false">
      <c r="A10" s="14" t="s">
        <v>29</v>
      </c>
      <c r="B10" s="15" t="s">
        <v>30</v>
      </c>
      <c r="C10" s="16" t="s">
        <v>25</v>
      </c>
      <c r="D10" s="16" t="s">
        <v>31</v>
      </c>
      <c r="E10" s="17" t="n">
        <v>16000</v>
      </c>
      <c r="F10" s="18" t="n">
        <v>1</v>
      </c>
      <c r="G10" s="18" t="s">
        <v>27</v>
      </c>
      <c r="H10" s="18" t="n">
        <v>1</v>
      </c>
      <c r="I10" s="19" t="n">
        <f aca="false">IF($E10="","",$E10*IF($F10="",1,$F10)*IF($H10="",1,$H10))</f>
        <v>16000</v>
      </c>
      <c r="J10" s="20" t="n">
        <f aca="false">IF(OR($I10="",$I$24=0),"",$I10/$I$24)</f>
        <v>0.212390066569684</v>
      </c>
      <c r="K10" s="15" t="s">
        <v>28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10" t="s">
        <v>32</v>
      </c>
      <c r="B12" s="11" t="s">
        <v>33</v>
      </c>
      <c r="C12" s="10"/>
      <c r="D12" s="10"/>
      <c r="E12" s="10"/>
      <c r="F12" s="10"/>
      <c r="G12" s="10"/>
      <c r="H12" s="10"/>
      <c r="I12" s="12" t="n">
        <f aca="false">SUM(I13:I15)</f>
        <v>36745.8</v>
      </c>
      <c r="J12" s="13" t="n">
        <f aca="false">IF(OR($I12="",$I$24=0),"",$I12/$I$24)</f>
        <v>0.487777681759769</v>
      </c>
      <c r="K12" s="11"/>
    </row>
    <row r="13" customFormat="false" ht="15" hidden="false" customHeight="true" outlineLevel="0" collapsed="false">
      <c r="A13" s="14" t="s">
        <v>34</v>
      </c>
      <c r="B13" s="15" t="s">
        <v>35</v>
      </c>
      <c r="C13" s="16" t="s">
        <v>25</v>
      </c>
      <c r="D13" s="16"/>
      <c r="E13" s="17" t="n">
        <v>760</v>
      </c>
      <c r="F13" s="18" t="n">
        <v>1</v>
      </c>
      <c r="G13" s="18" t="s">
        <v>36</v>
      </c>
      <c r="H13" s="18" t="n">
        <v>1</v>
      </c>
      <c r="I13" s="19" t="n">
        <f aca="false">IF($E13="","",$E13*$B$6*IF($F13="",1,$F13)*IF($H13="",1,$H13))</f>
        <v>5114.8</v>
      </c>
      <c r="J13" s="20" t="n">
        <f aca="false">IF(OR($I13="",$I$24=0),"",$I13/$I$24)</f>
        <v>0.0678957945306638</v>
      </c>
      <c r="K13" s="21" t="s">
        <v>37</v>
      </c>
    </row>
    <row r="14" customFormat="false" ht="15" hidden="false" customHeight="true" outlineLevel="0" collapsed="false">
      <c r="A14" s="14" t="s">
        <v>38</v>
      </c>
      <c r="B14" s="15" t="s">
        <v>39</v>
      </c>
      <c r="C14" s="16" t="s">
        <v>25</v>
      </c>
      <c r="D14" s="16"/>
      <c r="E14" s="17" t="n">
        <v>900</v>
      </c>
      <c r="F14" s="18" t="n">
        <v>1</v>
      </c>
      <c r="G14" s="18" t="s">
        <v>36</v>
      </c>
      <c r="H14" s="18" t="n">
        <v>1</v>
      </c>
      <c r="I14" s="19" t="n">
        <f aca="false">IF($E14="","",$E14*$B$6*IF($F14="",1,$F14)*IF($H14="",1,$H14))</f>
        <v>6057</v>
      </c>
      <c r="J14" s="20" t="n">
        <f aca="false">IF(OR($I14="",$I$24=0),"",$I14/$I$24)</f>
        <v>0.080402914575786</v>
      </c>
      <c r="K14" s="15" t="s">
        <v>40</v>
      </c>
    </row>
    <row r="15" customFormat="false" ht="15" hidden="false" customHeight="true" outlineLevel="0" collapsed="false">
      <c r="A15" s="14" t="s">
        <v>41</v>
      </c>
      <c r="B15" s="15" t="s">
        <v>42</v>
      </c>
      <c r="C15" s="16" t="s">
        <v>25</v>
      </c>
      <c r="D15" s="16"/>
      <c r="E15" s="17" t="n">
        <v>3800</v>
      </c>
      <c r="F15" s="18" t="n">
        <v>1</v>
      </c>
      <c r="G15" s="18" t="s">
        <v>36</v>
      </c>
      <c r="H15" s="18" t="n">
        <v>1</v>
      </c>
      <c r="I15" s="19" t="n">
        <f aca="false">IF($E15="","",$E15*$B$6*IF($F15="",1,$F15)*IF($H15="",1,$H15))</f>
        <v>25574</v>
      </c>
      <c r="J15" s="20" t="n">
        <f aca="false">IF(OR($I15="",$I$24=0),"",$I15/$I$24)</f>
        <v>0.339478972653319</v>
      </c>
      <c r="K15" s="15" t="s">
        <v>43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10" t="s">
        <v>44</v>
      </c>
      <c r="B17" s="11" t="s">
        <v>45</v>
      </c>
      <c r="C17" s="10"/>
      <c r="D17" s="10"/>
      <c r="E17" s="10"/>
      <c r="F17" s="10"/>
      <c r="G17" s="10"/>
      <c r="H17" s="10"/>
      <c r="I17" s="12" t="n">
        <f aca="false">SUM(I18:I20)</f>
        <v>0</v>
      </c>
      <c r="J17" s="13" t="n">
        <f aca="false">IF(OR($I17="",$I$24=0),"",$I17/$I$24)</f>
        <v>0</v>
      </c>
      <c r="K17" s="11"/>
    </row>
    <row r="18" customFormat="false" ht="15" hidden="false" customHeight="true" outlineLevel="0" collapsed="false">
      <c r="A18" s="14" t="s">
        <v>46</v>
      </c>
      <c r="B18" s="15" t="s">
        <v>47</v>
      </c>
      <c r="C18" s="16" t="s">
        <v>25</v>
      </c>
      <c r="D18" s="16"/>
      <c r="E18" s="17"/>
      <c r="F18" s="18"/>
      <c r="G18" s="18"/>
      <c r="H18" s="18"/>
      <c r="I18" s="19" t="str">
        <f aca="false">IF($E18="","",$E18*IF($F18="",1,$F18)*IF($H18="",1,$H18))</f>
        <v/>
      </c>
      <c r="J18" s="20" t="str">
        <f aca="false">IF(OR($I18="",$I$24=0),"",$I18/$I$24)</f>
        <v/>
      </c>
      <c r="K18" s="15" t="s">
        <v>48</v>
      </c>
    </row>
    <row r="19" customFormat="false" ht="15" hidden="false" customHeight="true" outlineLevel="0" collapsed="false">
      <c r="A19" s="14" t="s">
        <v>49</v>
      </c>
      <c r="B19" s="15" t="s">
        <v>50</v>
      </c>
      <c r="C19" s="16" t="s">
        <v>25</v>
      </c>
      <c r="D19" s="16"/>
      <c r="E19" s="17"/>
      <c r="F19" s="18"/>
      <c r="G19" s="18"/>
      <c r="H19" s="18"/>
      <c r="I19" s="19" t="str">
        <f aca="false">IF($E19="","",$E19*IF($F19="",1,$F19)*IF($H19="",1,$H19))</f>
        <v/>
      </c>
      <c r="J19" s="20" t="str">
        <f aca="false">IF(OR($I19="",$I$24=0),"",$I19/$I$24)</f>
        <v/>
      </c>
      <c r="K19" s="15" t="s">
        <v>51</v>
      </c>
    </row>
    <row r="20" customFormat="false" ht="15" hidden="false" customHeight="true" outlineLevel="0" collapsed="false">
      <c r="A20" s="14" t="s">
        <v>52</v>
      </c>
      <c r="B20" s="15" t="s">
        <v>53</v>
      </c>
      <c r="C20" s="16" t="s">
        <v>25</v>
      </c>
      <c r="D20" s="16"/>
      <c r="E20" s="17"/>
      <c r="F20" s="18"/>
      <c r="G20" s="18"/>
      <c r="H20" s="18"/>
      <c r="I20" s="19" t="str">
        <f aca="false">IF($E20="","",$E20*IF($F20="",1,$F20)*IF($H20="",1,$H20))</f>
        <v/>
      </c>
      <c r="J20" s="20" t="str">
        <f aca="false">IF(OR($I20="",$I$24=0),"",$I20/$I$24)</f>
        <v/>
      </c>
      <c r="K20" s="15" t="s">
        <v>54</v>
      </c>
    </row>
    <row r="21" customFormat="false" ht="15" hidden="false" customHeight="true" outlineLevel="0" collapsed="false"/>
    <row r="22" customFormat="false" ht="15" hidden="false" customHeight="true" outlineLevel="0" collapsed="false">
      <c r="A22" s="22" t="s">
        <v>55</v>
      </c>
      <c r="B22" s="23" t="s">
        <v>56</v>
      </c>
      <c r="C22" s="22"/>
      <c r="D22" s="22"/>
      <c r="E22" s="24" t="n">
        <v>0.05</v>
      </c>
      <c r="F22" s="22"/>
      <c r="G22" s="22" t="s">
        <v>57</v>
      </c>
      <c r="H22" s="22"/>
      <c r="I22" s="25" t="n">
        <f aca="false">($E22)*(I8+I12+I17)</f>
        <v>3587.29</v>
      </c>
      <c r="J22" s="26" t="n">
        <f aca="false">IF(OR($I22="",$I$24=0),"",$I22/$I$24)</f>
        <v>0.0476190476190476</v>
      </c>
      <c r="K22" s="23" t="s">
        <v>58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27"/>
      <c r="B24" s="28" t="s">
        <v>59</v>
      </c>
      <c r="C24" s="27"/>
      <c r="D24" s="27"/>
      <c r="E24" s="27"/>
      <c r="F24" s="27"/>
      <c r="G24" s="27"/>
      <c r="H24" s="27"/>
      <c r="I24" s="29" t="n">
        <f aca="false">(I8+I12+I17)+I22</f>
        <v>75333.09</v>
      </c>
      <c r="J24" s="30" t="n">
        <f aca="false">IF($I$24=0,"",1)</f>
        <v>1</v>
      </c>
      <c r="K24" s="31"/>
    </row>
    <row r="26" customFormat="false" ht="12.75" hidden="false" customHeight="true" outlineLevel="0" collapsed="false">
      <c r="A26" s="32" t="s">
        <v>60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customFormat="false" ht="12.75" hidden="false" customHeight="true" outlineLevel="0" collapsed="false">
      <c r="A27" s="33" t="s">
        <v>61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customFormat="false" ht="12.75" hidden="false" customHeight="true" outlineLevel="0" collapsed="false">
      <c r="A28" s="33" t="s">
        <v>62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customFormat="false" ht="12.75" hidden="false" customHeight="true" outlineLevel="0" collapsed="false">
      <c r="A29" s="33" t="s">
        <v>63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customFormat="false" ht="12.75" hidden="false" customHeight="true" outlineLevel="0" collapsed="false">
      <c r="A30" s="33" t="s">
        <v>64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</sheetData>
  <mergeCells count="5">
    <mergeCell ref="A26:K26"/>
    <mergeCell ref="A27:K27"/>
    <mergeCell ref="A28:K28"/>
    <mergeCell ref="A29:K29"/>
    <mergeCell ref="A30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2026-08-28T11:14:36Z</dcterms:created>
  <dc:creator>openpyxl</dc:creator>
  <dc:description/>
  <dc:language>en-US</dc:language>
  <cp:lastModifiedBy/>
  <dcterms:modified xsi:type="dcterms:W3CDTF">2026-08-29T18:01:47Z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